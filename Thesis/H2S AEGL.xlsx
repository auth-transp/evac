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Thesis\"/>
    </mc:Choice>
  </mc:AlternateContent>
  <xr:revisionPtr revIDLastSave="0" documentId="13_ncr:1_{E9FFB0C2-A759-4219-869C-C6E1BC23B2EB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New_AEGL" sheetId="4" r:id="rId1"/>
    <sheet name="ppm-dis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5" l="1"/>
  <c r="E38" i="5"/>
  <c r="E39" i="5"/>
  <c r="E40" i="5"/>
  <c r="E41" i="5"/>
  <c r="E42" i="5"/>
  <c r="E43" i="5"/>
  <c r="E44" i="5"/>
  <c r="E45" i="5"/>
  <c r="E36" i="5"/>
  <c r="B62" i="4"/>
  <c r="B63" i="4"/>
  <c r="B64" i="4"/>
  <c r="B65" i="4"/>
  <c r="B61" i="4"/>
  <c r="B54" i="4"/>
  <c r="B55" i="4"/>
  <c r="B56" i="4"/>
  <c r="B57" i="4"/>
  <c r="B53" i="4"/>
  <c r="B46" i="4"/>
  <c r="B47" i="4"/>
  <c r="B48" i="4"/>
  <c r="B49" i="4"/>
  <c r="B45" i="4"/>
  <c r="B38" i="4"/>
  <c r="B39" i="4"/>
  <c r="B40" i="4"/>
  <c r="B41" i="4"/>
  <c r="B37" i="4"/>
  <c r="D3" i="5"/>
  <c r="D4" i="5"/>
  <c r="D5" i="5"/>
  <c r="D2" i="5"/>
  <c r="F25" i="5"/>
  <c r="F26" i="5"/>
  <c r="F27" i="5"/>
  <c r="F28" i="5"/>
  <c r="F29" i="5"/>
  <c r="F30" i="5"/>
  <c r="F31" i="5"/>
  <c r="F32" i="5"/>
  <c r="F33" i="5"/>
  <c r="F24" i="5"/>
  <c r="J3" i="5"/>
  <c r="J4" i="5"/>
  <c r="J5" i="5"/>
  <c r="J2" i="5"/>
  <c r="I3" i="5"/>
  <c r="I4" i="5"/>
  <c r="I5" i="5"/>
  <c r="I2" i="5"/>
  <c r="F3" i="5"/>
  <c r="F4" i="5"/>
  <c r="F5" i="5"/>
  <c r="F2" i="5"/>
  <c r="E3" i="5"/>
  <c r="E4" i="5"/>
  <c r="E5" i="5"/>
  <c r="E2" i="5"/>
  <c r="E25" i="5"/>
  <c r="E26" i="5"/>
  <c r="E27" i="5"/>
  <c r="E28" i="5"/>
  <c r="E29" i="5"/>
  <c r="E30" i="5"/>
  <c r="E31" i="5"/>
  <c r="E32" i="5"/>
  <c r="E33" i="5"/>
  <c r="E24" i="5"/>
  <c r="H10" i="5"/>
  <c r="H11" i="5"/>
  <c r="H12" i="5"/>
  <c r="H13" i="5"/>
  <c r="H14" i="5"/>
  <c r="H15" i="5"/>
  <c r="H16" i="5"/>
  <c r="H17" i="5"/>
  <c r="H18" i="5"/>
  <c r="H9" i="5"/>
  <c r="B15" i="5"/>
  <c r="G15" i="5" s="1"/>
  <c r="B16" i="5"/>
  <c r="G16" i="5" s="1"/>
  <c r="B17" i="5"/>
  <c r="G17" i="5" s="1"/>
  <c r="B18" i="5"/>
  <c r="G18" i="5" s="1"/>
  <c r="B10" i="5"/>
  <c r="G10" i="5" s="1"/>
  <c r="B11" i="5"/>
  <c r="G11" i="5" s="1"/>
  <c r="B12" i="5"/>
  <c r="G12" i="5" s="1"/>
  <c r="B13" i="5"/>
  <c r="G13" i="5" s="1"/>
  <c r="B14" i="5"/>
  <c r="G14" i="5" s="1"/>
  <c r="B9" i="5"/>
  <c r="G9" i="5" s="1"/>
  <c r="D3" i="4"/>
  <c r="D4" i="4"/>
  <c r="D5" i="4"/>
  <c r="D6" i="4"/>
  <c r="D2" i="4"/>
</calcChain>
</file>

<file path=xl/sharedStrings.xml><?xml version="1.0" encoding="utf-8"?>
<sst xmlns="http://schemas.openxmlformats.org/spreadsheetml/2006/main" count="101" uniqueCount="80">
  <si>
    <t>Fit Smell</t>
  </si>
  <si>
    <t>Fit Irritation</t>
  </si>
  <si>
    <t>Fit Edema</t>
  </si>
  <si>
    <t>Fit Death</t>
  </si>
  <si>
    <t>t(sec)</t>
  </si>
  <si>
    <t>Distance</t>
  </si>
  <si>
    <t>Time</t>
  </si>
  <si>
    <t>ppm</t>
  </si>
  <si>
    <t>91.7</t>
  </si>
  <si>
    <t>183.5</t>
  </si>
  <si>
    <t>275.2</t>
  </si>
  <si>
    <t>366.9</t>
  </si>
  <si>
    <t>458.6</t>
  </si>
  <si>
    <t>550.4</t>
  </si>
  <si>
    <t>642.1</t>
  </si>
  <si>
    <t>733.8</t>
  </si>
  <si>
    <t>825.5</t>
  </si>
  <si>
    <t>meters</t>
  </si>
  <si>
    <t>pixels</t>
  </si>
  <si>
    <t>color</t>
  </si>
  <si>
    <t>#4F4F4F</t>
  </si>
  <si>
    <t>#8F8F8F</t>
  </si>
  <si>
    <t>#A8A8A8</t>
  </si>
  <si>
    <t>#B8B8B8</t>
  </si>
  <si>
    <t>#C2C2C2</t>
  </si>
  <si>
    <t>#C7C7C7</t>
  </si>
  <si>
    <t>#CCCCCC</t>
  </si>
  <si>
    <t>#D1D1D1</t>
  </si>
  <si>
    <t>#D4D4D4</t>
  </si>
  <si>
    <t>#D6D6D6</t>
  </si>
  <si>
    <t>Distance * 1000</t>
  </si>
  <si>
    <t>1000 - ppm</t>
  </si>
  <si>
    <t>(1000-ppm)/10</t>
  </si>
  <si>
    <t>time (sec)</t>
  </si>
  <si>
    <t>ppm*255/1000</t>
  </si>
  <si>
    <t>Duration</t>
  </si>
  <si>
    <t>hour</t>
  </si>
  <si>
    <t>seconds</t>
  </si>
  <si>
    <t>Assume only CH4</t>
  </si>
  <si>
    <t>kg</t>
  </si>
  <si>
    <t>Total leakage</t>
  </si>
  <si>
    <t>kmol</t>
  </si>
  <si>
    <t>0.77% H2S</t>
  </si>
  <si>
    <t>mol H2S / s</t>
  </si>
  <si>
    <t>kmol H2S / h</t>
  </si>
  <si>
    <t>mol H2S / h</t>
  </si>
  <si>
    <t>ppm H2S / s</t>
  </si>
  <si>
    <t>CM1</t>
  </si>
  <si>
    <t>CM2</t>
  </si>
  <si>
    <t>CM3</t>
  </si>
  <si>
    <t>CM4</t>
  </si>
  <si>
    <t>CM5</t>
  </si>
  <si>
    <t>CM6</t>
  </si>
  <si>
    <t>CM7</t>
  </si>
  <si>
    <t>CM8</t>
  </si>
  <si>
    <t>ppm*255/1000 (2/3)</t>
  </si>
  <si>
    <t>ppm (2/3)</t>
  </si>
  <si>
    <t>hex</t>
  </si>
  <si>
    <t>ppm (2/3) *255/1000</t>
  </si>
  <si>
    <t>CM</t>
  </si>
  <si>
    <t>ppm (1/2)</t>
  </si>
  <si>
    <t>ppm (1/2) *255/1000</t>
  </si>
  <si>
    <t>ppm*255/1000 (1/2)</t>
  </si>
  <si>
    <t>#585858</t>
  </si>
  <si>
    <t>#383838</t>
  </si>
  <si>
    <t>#2B2B2B</t>
  </si>
  <si>
    <t>#282828</t>
  </si>
  <si>
    <t>#242424</t>
  </si>
  <si>
    <t>#1A1A1A</t>
  </si>
  <si>
    <t>#151515</t>
  </si>
  <si>
    <t>Meters to Pixels</t>
  </si>
  <si>
    <t>Formula</t>
  </si>
  <si>
    <t>c(t)=1800*t^(-0,227)</t>
  </si>
  <si>
    <t>c(t)=850*t^(-0,227)</t>
  </si>
  <si>
    <t>c(t)=600*t^(-0,227)</t>
  </si>
  <si>
    <t>c(t)=8.5*t^(-0,227)</t>
  </si>
  <si>
    <t>AFAFAF</t>
  </si>
  <si>
    <t>3F3F3F</t>
  </si>
  <si>
    <t>2E2E2E</t>
  </si>
  <si>
    <t>2B2B2B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</si>
</sst>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left" vertical="center" indent="2"/>
    </xf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textRotation="45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 - ppm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785651793525808E-3"/>
                  <c:y val="0.125031714785651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'ppm-dist'!$B$2:$B$5</c:f>
              <c:numCache>
                <c:formatCode>General</c:formatCode>
                <c:ptCount val="4"/>
                <c:pt idx="0">
                  <c:v>1.07</c:v>
                </c:pt>
                <c:pt idx="1">
                  <c:v>1.27</c:v>
                </c:pt>
                <c:pt idx="2">
                  <c:v>2.13</c:v>
                </c:pt>
                <c:pt idx="3">
                  <c:v>3</c:v>
                </c:pt>
              </c:numCache>
            </c:numRef>
          </c:xVal>
          <c:yVal>
            <c:numRef>
              <c:f>'ppm-dist'!$A$2:$A$5</c:f>
              <c:numCache>
                <c:formatCode>General</c:formatCode>
                <c:ptCount val="4"/>
                <c:pt idx="0">
                  <c:v>317</c:v>
                </c:pt>
                <c:pt idx="1">
                  <c:v>281</c:v>
                </c:pt>
                <c:pt idx="2">
                  <c:v>200</c:v>
                </c:pt>
                <c:pt idx="3">
                  <c:v>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2-4EFD-BEE2-8224BE699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751240"/>
        <c:axId val="553748720"/>
      </c:scatterChart>
      <c:valAx>
        <c:axId val="55375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53748720"/>
        <c:crosses val="autoZero"/>
        <c:crossBetween val="midCat"/>
      </c:valAx>
      <c:valAx>
        <c:axId val="55374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53751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- Dist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0554351260028356"/>
                  <c:y val="0.270642578863445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'ppm-dist'!$B$2:$B$5</c:f>
              <c:numCache>
                <c:formatCode>General</c:formatCode>
                <c:ptCount val="4"/>
                <c:pt idx="0">
                  <c:v>1.07</c:v>
                </c:pt>
                <c:pt idx="1">
                  <c:v>1.27</c:v>
                </c:pt>
                <c:pt idx="2">
                  <c:v>2.13</c:v>
                </c:pt>
                <c:pt idx="3">
                  <c:v>3</c:v>
                </c:pt>
              </c:numCache>
            </c:numRef>
          </c:xVal>
          <c:yVal>
            <c:numRef>
              <c:f>'ppm-dist'!$C$2:$C$5</c:f>
              <c:numCache>
                <c:formatCode>General</c:formatCode>
                <c:ptCount val="4"/>
                <c:pt idx="0">
                  <c:v>100</c:v>
                </c:pt>
                <c:pt idx="1">
                  <c:v>120</c:v>
                </c:pt>
                <c:pt idx="2">
                  <c:v>215</c:v>
                </c:pt>
                <c:pt idx="3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50-41E8-BE57-5E50EEF7C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002688"/>
        <c:axId val="530007008"/>
      </c:scatterChart>
      <c:valAx>
        <c:axId val="53000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30007008"/>
        <c:crosses val="autoZero"/>
        <c:crossBetween val="midCat"/>
      </c:valAx>
      <c:valAx>
        <c:axId val="5300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3000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464966</xdr:colOff>
      <xdr:row>1</xdr:row>
      <xdr:rowOff>126316</xdr:rowOff>
    </xdr:from>
    <xdr:to>
      <xdr:col>17</xdr:col>
      <xdr:colOff>348761</xdr:colOff>
      <xdr:row>15</xdr:row>
      <xdr:rowOff>99646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47EE1AE7-A9A9-16C0-EC7A-6E0E6982C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126170</xdr:colOff>
      <xdr:row>16</xdr:row>
      <xdr:rowOff>59202</xdr:rowOff>
    </xdr:from>
    <xdr:to>
      <xdr:col>18</xdr:col>
      <xdr:colOff>391845</xdr:colOff>
      <xdr:row>30</xdr:row>
      <xdr:rowOff>30920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B6647ADD-3016-22A5-12F4-889CA30D6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D481-72B6-4B6F-8EF9-8F39EB86247A}">
  <dimension ref="A1:J65"/>
  <sheetViews>
    <sheetView workbookViewId="0">
      <selection activeCell="F55" sqref="F55"/>
    </sheetView>
  </sheetViews>
  <sheetFormatPr defaultRowHeight="15.6" x14ac:dyDescent="0.3"/>
  <cols>
    <col min="1" max="1" width="14.59765625" style="1" bestFit="1" customWidth="1"/>
    <col min="2" max="2" width="15" style="1" bestFit="1" customWidth="1"/>
    <col min="3" max="16384" width="8.796875" style="1"/>
  </cols>
  <sheetData>
    <row r="1" spans="1:10" x14ac:dyDescent="0.3">
      <c r="A1" s="1" t="s">
        <v>71</v>
      </c>
      <c r="B1" s="1" t="s">
        <v>3</v>
      </c>
      <c r="C1" s="1" t="s">
        <v>4</v>
      </c>
    </row>
    <row r="2" spans="1:10" x14ac:dyDescent="0.3">
      <c r="A2" s="8" t="s">
        <v>72</v>
      </c>
      <c r="B2" s="2">
        <v>493.13517353857929</v>
      </c>
      <c r="C2" s="1">
        <v>300</v>
      </c>
      <c r="D2" s="1">
        <f>C2/60</f>
        <v>5</v>
      </c>
      <c r="F2" s="2">
        <v>493.13517353857929</v>
      </c>
      <c r="G2" s="2">
        <v>439.14335359378231</v>
      </c>
      <c r="H2" s="2">
        <v>375.20835895751202</v>
      </c>
      <c r="I2" s="2">
        <v>342.21558912436569</v>
      </c>
      <c r="J2" s="2">
        <v>292.39233283217675</v>
      </c>
    </row>
    <row r="3" spans="1:10" x14ac:dyDescent="0.3">
      <c r="A3" s="8"/>
      <c r="B3" s="2">
        <v>439.14335359378231</v>
      </c>
      <c r="C3" s="1">
        <v>500</v>
      </c>
      <c r="D3" s="1">
        <f t="shared" ref="D3:D6" si="0">C3/60</f>
        <v>8.3333333333333339</v>
      </c>
    </row>
    <row r="4" spans="1:10" x14ac:dyDescent="0.3">
      <c r="A4" s="8"/>
      <c r="B4" s="2">
        <v>375.20835895751202</v>
      </c>
      <c r="C4" s="1">
        <v>1000</v>
      </c>
      <c r="D4" s="1">
        <f t="shared" si="0"/>
        <v>16.666666666666668</v>
      </c>
    </row>
    <row r="5" spans="1:10" x14ac:dyDescent="0.3">
      <c r="A5" s="8"/>
      <c r="B5" s="2">
        <v>342.21558912436569</v>
      </c>
      <c r="C5" s="1">
        <v>1500</v>
      </c>
      <c r="D5" s="1">
        <f t="shared" si="0"/>
        <v>25</v>
      </c>
    </row>
    <row r="6" spans="1:10" x14ac:dyDescent="0.3">
      <c r="A6" s="8"/>
      <c r="B6" s="2">
        <v>292.39233283217675</v>
      </c>
      <c r="C6" s="1">
        <v>3000</v>
      </c>
      <c r="D6" s="1">
        <f t="shared" si="0"/>
        <v>50</v>
      </c>
    </row>
    <row r="7" spans="1:10" x14ac:dyDescent="0.3">
      <c r="B7" s="2"/>
    </row>
    <row r="8" spans="1:10" x14ac:dyDescent="0.3">
      <c r="B8" s="2"/>
    </row>
    <row r="9" spans="1:10" x14ac:dyDescent="0.3">
      <c r="B9" s="2" t="s">
        <v>2</v>
      </c>
      <c r="C9" s="1" t="s">
        <v>4</v>
      </c>
    </row>
    <row r="10" spans="1:10" x14ac:dyDescent="0.3">
      <c r="A10" s="8" t="s">
        <v>73</v>
      </c>
      <c r="B10" s="2">
        <v>232.86938750432913</v>
      </c>
      <c r="C10" s="1">
        <v>300</v>
      </c>
      <c r="E10" s="2">
        <v>232.86938750432913</v>
      </c>
      <c r="F10" s="2">
        <v>207.37325030817499</v>
      </c>
      <c r="G10" s="2">
        <v>177.18172506326957</v>
      </c>
      <c r="H10" s="2">
        <v>161.60180597539491</v>
      </c>
      <c r="I10" s="2">
        <v>138.07415717075011</v>
      </c>
    </row>
    <row r="11" spans="1:10" x14ac:dyDescent="0.3">
      <c r="A11" s="8"/>
      <c r="B11" s="2">
        <v>207.37325030817499</v>
      </c>
      <c r="C11" s="1">
        <v>500</v>
      </c>
    </row>
    <row r="12" spans="1:10" x14ac:dyDescent="0.3">
      <c r="A12" s="8"/>
      <c r="B12" s="2">
        <v>177.18172506326957</v>
      </c>
      <c r="C12" s="1">
        <v>1000</v>
      </c>
    </row>
    <row r="13" spans="1:10" x14ac:dyDescent="0.3">
      <c r="A13" s="8"/>
      <c r="B13" s="2">
        <v>161.60180597539491</v>
      </c>
      <c r="C13" s="1">
        <v>1500</v>
      </c>
    </row>
    <row r="14" spans="1:10" x14ac:dyDescent="0.3">
      <c r="A14" s="8"/>
      <c r="B14" s="2">
        <v>138.07415717075011</v>
      </c>
      <c r="C14" s="1">
        <v>3000</v>
      </c>
    </row>
    <row r="15" spans="1:10" x14ac:dyDescent="0.3">
      <c r="B15" s="2"/>
    </row>
    <row r="16" spans="1:10" x14ac:dyDescent="0.3">
      <c r="B16" s="2"/>
    </row>
    <row r="17" spans="1:9" x14ac:dyDescent="0.3">
      <c r="B17" s="2" t="s">
        <v>1</v>
      </c>
      <c r="C17" s="1" t="s">
        <v>4</v>
      </c>
    </row>
    <row r="18" spans="1:9" x14ac:dyDescent="0.3">
      <c r="A18" s="8" t="s">
        <v>74</v>
      </c>
      <c r="B18" s="2">
        <v>164.37839117952643</v>
      </c>
      <c r="C18" s="1">
        <v>300</v>
      </c>
      <c r="E18" s="2">
        <v>164.37839117952643</v>
      </c>
      <c r="F18" s="2">
        <v>146.3811178645941</v>
      </c>
      <c r="G18" s="2">
        <v>125.06945298583734</v>
      </c>
      <c r="H18" s="2">
        <v>114.07186304145523</v>
      </c>
      <c r="I18" s="2">
        <v>97.464110944058902</v>
      </c>
    </row>
    <row r="19" spans="1:9" x14ac:dyDescent="0.3">
      <c r="A19" s="8"/>
      <c r="B19" s="2">
        <v>146.3811178645941</v>
      </c>
      <c r="C19" s="1">
        <v>500</v>
      </c>
    </row>
    <row r="20" spans="1:9" x14ac:dyDescent="0.3">
      <c r="A20" s="8"/>
      <c r="B20" s="2">
        <v>125.06945298583734</v>
      </c>
      <c r="C20" s="1">
        <v>1000</v>
      </c>
    </row>
    <row r="21" spans="1:9" x14ac:dyDescent="0.3">
      <c r="A21" s="8"/>
      <c r="B21" s="2">
        <v>114.07186304145523</v>
      </c>
      <c r="C21" s="1">
        <v>1500</v>
      </c>
    </row>
    <row r="22" spans="1:9" x14ac:dyDescent="0.3">
      <c r="A22" s="8"/>
      <c r="B22" s="2">
        <v>97.464110944058902</v>
      </c>
      <c r="C22" s="1">
        <v>3000</v>
      </c>
    </row>
    <row r="25" spans="1:9" x14ac:dyDescent="0.3">
      <c r="B25" s="1" t="s">
        <v>0</v>
      </c>
      <c r="C25" s="1" t="s">
        <v>4</v>
      </c>
    </row>
    <row r="26" spans="1:9" x14ac:dyDescent="0.3">
      <c r="A26" s="8" t="s">
        <v>75</v>
      </c>
      <c r="B26" s="3">
        <v>2.3286938750432911</v>
      </c>
      <c r="C26" s="1">
        <v>300</v>
      </c>
      <c r="E26" s="3">
        <v>2.3286938750432911</v>
      </c>
      <c r="F26" s="3">
        <v>2.0737325030817497</v>
      </c>
      <c r="G26" s="3">
        <v>1.7718172506326957</v>
      </c>
      <c r="H26" s="3">
        <v>1.6160180597539491</v>
      </c>
      <c r="I26" s="3">
        <v>1.3807415717075011</v>
      </c>
    </row>
    <row r="27" spans="1:9" x14ac:dyDescent="0.3">
      <c r="A27" s="8"/>
      <c r="B27" s="3">
        <v>2.0737325030817497</v>
      </c>
      <c r="C27" s="1">
        <v>500</v>
      </c>
    </row>
    <row r="28" spans="1:9" x14ac:dyDescent="0.3">
      <c r="A28" s="8"/>
      <c r="B28" s="3">
        <v>1.7718172506326957</v>
      </c>
      <c r="C28" s="1">
        <v>1000</v>
      </c>
    </row>
    <row r="29" spans="1:9" x14ac:dyDescent="0.3">
      <c r="A29" s="8"/>
      <c r="B29" s="3">
        <v>1.6160180597539491</v>
      </c>
      <c r="C29" s="1">
        <v>1500</v>
      </c>
    </row>
    <row r="30" spans="1:9" x14ac:dyDescent="0.3">
      <c r="A30" s="8"/>
      <c r="B30" s="3">
        <v>1.3807415717075011</v>
      </c>
      <c r="C30" s="1">
        <v>3000</v>
      </c>
    </row>
    <row r="35" spans="1:3" s="7" customFormat="1" ht="16.2" thickBot="1" x14ac:dyDescent="0.35"/>
    <row r="36" spans="1:3" x14ac:dyDescent="0.3">
      <c r="A36" s="1" t="s">
        <v>71</v>
      </c>
      <c r="B36" s="1" t="s">
        <v>3</v>
      </c>
      <c r="C36" s="1" t="s">
        <v>4</v>
      </c>
    </row>
    <row r="37" spans="1:3" x14ac:dyDescent="0.3">
      <c r="A37" s="8" t="s">
        <v>72</v>
      </c>
      <c r="B37" s="2">
        <f>1800*C37^(-0.227)</f>
        <v>607.15330337425485</v>
      </c>
      <c r="C37" s="1">
        <v>120</v>
      </c>
    </row>
    <row r="38" spans="1:3" x14ac:dyDescent="0.3">
      <c r="A38" s="8"/>
      <c r="B38" s="2">
        <f t="shared" ref="B38:B41" si="1">1800*C38^(-0.227)</f>
        <v>493.13517353857929</v>
      </c>
      <c r="C38" s="1">
        <v>300</v>
      </c>
    </row>
    <row r="39" spans="1:3" x14ac:dyDescent="0.3">
      <c r="A39" s="8"/>
      <c r="B39" s="2">
        <f t="shared" si="1"/>
        <v>443.23162915052404</v>
      </c>
      <c r="C39" s="1">
        <v>480</v>
      </c>
    </row>
    <row r="40" spans="1:3" x14ac:dyDescent="0.3">
      <c r="A40" s="8"/>
      <c r="B40" s="2">
        <f t="shared" si="1"/>
        <v>384.29032922710877</v>
      </c>
      <c r="C40" s="1">
        <v>900</v>
      </c>
    </row>
    <row r="41" spans="1:3" x14ac:dyDescent="0.3">
      <c r="A41" s="8"/>
      <c r="B41" s="2">
        <f t="shared" si="1"/>
        <v>328.34140062136413</v>
      </c>
      <c r="C41" s="1">
        <v>1800</v>
      </c>
    </row>
    <row r="42" spans="1:3" x14ac:dyDescent="0.3">
      <c r="B42" s="2"/>
    </row>
    <row r="43" spans="1:3" x14ac:dyDescent="0.3">
      <c r="B43" s="2"/>
    </row>
    <row r="44" spans="1:3" x14ac:dyDescent="0.3">
      <c r="B44" s="2" t="s">
        <v>2</v>
      </c>
      <c r="C44" s="1" t="s">
        <v>4</v>
      </c>
    </row>
    <row r="45" spans="1:3" x14ac:dyDescent="0.3">
      <c r="A45" s="8" t="s">
        <v>73</v>
      </c>
      <c r="B45" s="2">
        <f>850*C45^(-0.227)</f>
        <v>286.71128214895367</v>
      </c>
      <c r="C45" s="1">
        <v>120</v>
      </c>
    </row>
    <row r="46" spans="1:3" x14ac:dyDescent="0.3">
      <c r="A46" s="8"/>
      <c r="B46" s="2">
        <f t="shared" ref="B46:B49" si="2">850*C46^(-0.227)</f>
        <v>232.86938750432913</v>
      </c>
      <c r="C46" s="1">
        <v>300</v>
      </c>
    </row>
    <row r="47" spans="1:3" x14ac:dyDescent="0.3">
      <c r="A47" s="8"/>
      <c r="B47" s="2">
        <f t="shared" si="2"/>
        <v>209.30382487663636</v>
      </c>
      <c r="C47" s="1">
        <v>480</v>
      </c>
    </row>
    <row r="48" spans="1:3" x14ac:dyDescent="0.3">
      <c r="A48" s="8"/>
      <c r="B48" s="2">
        <f t="shared" si="2"/>
        <v>181.47043324613469</v>
      </c>
      <c r="C48" s="1">
        <v>900</v>
      </c>
    </row>
    <row r="49" spans="1:3" x14ac:dyDescent="0.3">
      <c r="A49" s="8"/>
      <c r="B49" s="2">
        <f t="shared" si="2"/>
        <v>155.05010584897749</v>
      </c>
      <c r="C49" s="1">
        <v>1800</v>
      </c>
    </row>
    <row r="50" spans="1:3" x14ac:dyDescent="0.3">
      <c r="B50" s="2"/>
    </row>
    <row r="51" spans="1:3" x14ac:dyDescent="0.3">
      <c r="B51" s="2"/>
    </row>
    <row r="52" spans="1:3" x14ac:dyDescent="0.3">
      <c r="B52" s="2" t="s">
        <v>1</v>
      </c>
      <c r="C52" s="1" t="s">
        <v>4</v>
      </c>
    </row>
    <row r="53" spans="1:3" x14ac:dyDescent="0.3">
      <c r="A53" s="8" t="s">
        <v>74</v>
      </c>
      <c r="B53" s="2">
        <f>600*C53^(-0.227)</f>
        <v>202.38443445808497</v>
      </c>
      <c r="C53" s="1">
        <v>120</v>
      </c>
    </row>
    <row r="54" spans="1:3" x14ac:dyDescent="0.3">
      <c r="A54" s="8"/>
      <c r="B54" s="2">
        <f t="shared" ref="B54:B57" si="3">600*C54^(-0.227)</f>
        <v>164.37839117952643</v>
      </c>
      <c r="C54" s="1">
        <v>300</v>
      </c>
    </row>
    <row r="55" spans="1:3" x14ac:dyDescent="0.3">
      <c r="A55" s="8"/>
      <c r="B55" s="2">
        <f t="shared" si="3"/>
        <v>147.74387638350802</v>
      </c>
      <c r="C55" s="1">
        <v>480</v>
      </c>
    </row>
    <row r="56" spans="1:3" x14ac:dyDescent="0.3">
      <c r="A56" s="8"/>
      <c r="B56" s="2">
        <f t="shared" si="3"/>
        <v>128.09677640903624</v>
      </c>
      <c r="C56" s="1">
        <v>900</v>
      </c>
    </row>
    <row r="57" spans="1:3" x14ac:dyDescent="0.3">
      <c r="A57" s="8"/>
      <c r="B57" s="2">
        <f t="shared" si="3"/>
        <v>109.44713354045471</v>
      </c>
      <c r="C57" s="1">
        <v>1800</v>
      </c>
    </row>
    <row r="60" spans="1:3" x14ac:dyDescent="0.3">
      <c r="B60" s="1" t="s">
        <v>0</v>
      </c>
      <c r="C60" s="1" t="s">
        <v>4</v>
      </c>
    </row>
    <row r="61" spans="1:3" x14ac:dyDescent="0.3">
      <c r="A61" s="8" t="s">
        <v>75</v>
      </c>
      <c r="B61" s="2">
        <f>8.5*C61^(-0.227)</f>
        <v>2.8671128214895369</v>
      </c>
      <c r="C61" s="1">
        <v>120</v>
      </c>
    </row>
    <row r="62" spans="1:3" x14ac:dyDescent="0.3">
      <c r="A62" s="8"/>
      <c r="B62" s="2">
        <f t="shared" ref="B62:B65" si="4">8.5*C62^(-0.227)</f>
        <v>2.3286938750432911</v>
      </c>
      <c r="C62" s="1">
        <v>300</v>
      </c>
    </row>
    <row r="63" spans="1:3" x14ac:dyDescent="0.3">
      <c r="A63" s="8"/>
      <c r="B63" s="2">
        <f t="shared" si="4"/>
        <v>2.0930382487663635</v>
      </c>
      <c r="C63" s="1">
        <v>480</v>
      </c>
    </row>
    <row r="64" spans="1:3" x14ac:dyDescent="0.3">
      <c r="A64" s="8"/>
      <c r="B64" s="2">
        <f t="shared" si="4"/>
        <v>1.8147043324613468</v>
      </c>
      <c r="C64" s="1">
        <v>900</v>
      </c>
    </row>
    <row r="65" spans="1:3" x14ac:dyDescent="0.3">
      <c r="A65" s="8"/>
      <c r="B65" s="2">
        <f t="shared" si="4"/>
        <v>1.5505010584897752</v>
      </c>
      <c r="C65" s="1">
        <v>1800</v>
      </c>
    </row>
  </sheetData>
  <mergeCells count="8">
    <mergeCell ref="A53:A57"/>
    <mergeCell ref="A61:A65"/>
    <mergeCell ref="A2:A6"/>
    <mergeCell ref="A10:A14"/>
    <mergeCell ref="A18:A22"/>
    <mergeCell ref="A26:A30"/>
    <mergeCell ref="A37:A41"/>
    <mergeCell ref="A45:A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B459-1B7D-4296-8012-F11251EFF08E}">
  <dimension ref="A1:J45"/>
  <sheetViews>
    <sheetView tabSelected="1" topLeftCell="A7" zoomScale="130" zoomScaleNormal="130" workbookViewId="0">
      <selection activeCell="D9" sqref="D9:D18"/>
    </sheetView>
  </sheetViews>
  <sheetFormatPr defaultRowHeight="15.6" x14ac:dyDescent="0.3"/>
  <cols>
    <col min="2" max="2" width="9.59765625" bestFit="1" customWidth="1"/>
    <col min="3" max="3" width="9.3984375" bestFit="1" customWidth="1"/>
    <col min="4" max="4" width="14.09765625" bestFit="1" customWidth="1"/>
    <col min="5" max="5" width="18.5" bestFit="1" customWidth="1"/>
    <col min="6" max="6" width="19" bestFit="1" customWidth="1"/>
    <col min="7" max="7" width="15.09765625" bestFit="1" customWidth="1"/>
    <col min="8" max="8" width="13.5" bestFit="1" customWidth="1"/>
  </cols>
  <sheetData>
    <row r="1" spans="1:10" x14ac:dyDescent="0.3">
      <c r="A1" t="s">
        <v>7</v>
      </c>
      <c r="B1" t="s">
        <v>5</v>
      </c>
      <c r="C1" t="s">
        <v>6</v>
      </c>
      <c r="D1" t="s">
        <v>70</v>
      </c>
      <c r="E1" t="s">
        <v>56</v>
      </c>
      <c r="F1" t="s">
        <v>58</v>
      </c>
      <c r="G1" t="s">
        <v>57</v>
      </c>
      <c r="I1" t="s">
        <v>60</v>
      </c>
      <c r="J1" t="s">
        <v>61</v>
      </c>
    </row>
    <row r="2" spans="1:10" x14ac:dyDescent="0.3">
      <c r="A2">
        <v>317</v>
      </c>
      <c r="B2">
        <v>1.07</v>
      </c>
      <c r="C2">
        <v>100</v>
      </c>
      <c r="D2">
        <f>B2*723.37/2500*1000</f>
        <v>309.60236000000003</v>
      </c>
      <c r="E2" s="6">
        <f>A2*2/3</f>
        <v>211.33333333333334</v>
      </c>
      <c r="F2" s="5">
        <f>E2*255/1000</f>
        <v>53.89</v>
      </c>
      <c r="I2" s="5">
        <f>A2/2</f>
        <v>158.5</v>
      </c>
      <c r="J2" s="5">
        <f>I2*255/1000</f>
        <v>40.417499999999997</v>
      </c>
    </row>
    <row r="3" spans="1:10" x14ac:dyDescent="0.3">
      <c r="A3">
        <v>281</v>
      </c>
      <c r="B3">
        <v>1.27</v>
      </c>
      <c r="C3">
        <v>120</v>
      </c>
      <c r="D3">
        <f t="shared" ref="D3:D5" si="0">B3*723.37/2500*1000</f>
        <v>367.47195999999997</v>
      </c>
      <c r="E3" s="6">
        <f t="shared" ref="E3:E5" si="1">A3*2/3</f>
        <v>187.33333333333334</v>
      </c>
      <c r="F3" s="5">
        <f t="shared" ref="F3:F5" si="2">E3*255/1000</f>
        <v>47.77</v>
      </c>
      <c r="I3" s="5">
        <f t="shared" ref="I3:I5" si="3">A3/2</f>
        <v>140.5</v>
      </c>
      <c r="J3" s="5">
        <f t="shared" ref="J3:J5" si="4">I3*255/1000</f>
        <v>35.827500000000001</v>
      </c>
    </row>
    <row r="4" spans="1:10" x14ac:dyDescent="0.3">
      <c r="A4">
        <v>200</v>
      </c>
      <c r="B4">
        <v>2.13</v>
      </c>
      <c r="C4">
        <v>215</v>
      </c>
      <c r="D4">
        <f t="shared" si="0"/>
        <v>616.31124</v>
      </c>
      <c r="E4" s="6">
        <f t="shared" si="1"/>
        <v>133.33333333333334</v>
      </c>
      <c r="F4" s="5">
        <f t="shared" si="2"/>
        <v>34</v>
      </c>
      <c r="I4" s="5">
        <f t="shared" si="3"/>
        <v>100</v>
      </c>
      <c r="J4" s="5">
        <f t="shared" si="4"/>
        <v>25.5</v>
      </c>
    </row>
    <row r="5" spans="1:10" x14ac:dyDescent="0.3">
      <c r="A5">
        <v>164</v>
      </c>
      <c r="B5">
        <v>3</v>
      </c>
      <c r="C5">
        <v>300</v>
      </c>
      <c r="D5">
        <f t="shared" si="0"/>
        <v>868.04399999999998</v>
      </c>
      <c r="E5" s="6">
        <f t="shared" si="1"/>
        <v>109.33333333333333</v>
      </c>
      <c r="F5" s="5">
        <f t="shared" si="2"/>
        <v>27.88</v>
      </c>
      <c r="I5" s="5">
        <f t="shared" si="3"/>
        <v>82</v>
      </c>
      <c r="J5" s="5">
        <f t="shared" si="4"/>
        <v>20.91</v>
      </c>
    </row>
    <row r="8" spans="1:10" x14ac:dyDescent="0.3">
      <c r="A8" t="s">
        <v>5</v>
      </c>
      <c r="B8" t="s">
        <v>7</v>
      </c>
      <c r="C8" t="s">
        <v>33</v>
      </c>
      <c r="D8" t="s">
        <v>57</v>
      </c>
      <c r="E8" t="s">
        <v>34</v>
      </c>
      <c r="F8" t="s">
        <v>30</v>
      </c>
      <c r="G8" t="s">
        <v>31</v>
      </c>
      <c r="H8" t="s">
        <v>32</v>
      </c>
    </row>
    <row r="9" spans="1:10" x14ac:dyDescent="0.3">
      <c r="A9" s="4">
        <v>0.317</v>
      </c>
      <c r="B9" s="5">
        <f>328.71*A9^(-0.641)</f>
        <v>686.48954787651837</v>
      </c>
      <c r="C9" s="5">
        <v>9.3718832874999976</v>
      </c>
      <c r="D9" t="s">
        <v>76</v>
      </c>
      <c r="E9" s="5">
        <v>175.05483470851217</v>
      </c>
      <c r="F9">
        <v>317</v>
      </c>
      <c r="G9" s="5">
        <f t="shared" ref="G9:G18" si="5">1000-B9</f>
        <v>313.51045212348163</v>
      </c>
      <c r="H9" s="5">
        <f>G9/10</f>
        <v>31.351045212348161</v>
      </c>
    </row>
    <row r="10" spans="1:10" x14ac:dyDescent="0.3">
      <c r="A10" s="4">
        <v>0.63400000000000001</v>
      </c>
      <c r="B10" s="5">
        <f t="shared" ref="B10:B18" si="6">328.71*A10^(-0.641)</f>
        <v>440.22398628267081</v>
      </c>
      <c r="C10" s="5">
        <v>47.789973149999994</v>
      </c>
      <c r="D10">
        <v>707070</v>
      </c>
      <c r="E10" s="5">
        <v>112.25711650208106</v>
      </c>
      <c r="F10">
        <v>634</v>
      </c>
      <c r="G10" s="5">
        <f t="shared" si="5"/>
        <v>559.77601371732919</v>
      </c>
      <c r="H10" s="5">
        <f t="shared" ref="H10:H18" si="7">G10/10</f>
        <v>55.977601371732916</v>
      </c>
    </row>
    <row r="11" spans="1:10" x14ac:dyDescent="0.3">
      <c r="A11" s="4">
        <v>0.95099999999999996</v>
      </c>
      <c r="B11" s="5">
        <f t="shared" si="6"/>
        <v>339.46828397332285</v>
      </c>
      <c r="C11" s="5">
        <v>85.12026958749999</v>
      </c>
      <c r="D11">
        <v>575757</v>
      </c>
      <c r="E11" s="5">
        <v>86.564412413197317</v>
      </c>
      <c r="F11">
        <v>951</v>
      </c>
      <c r="G11" s="5">
        <f t="shared" si="5"/>
        <v>660.53171602667715</v>
      </c>
      <c r="H11" s="5">
        <f t="shared" si="7"/>
        <v>66.053171602667717</v>
      </c>
    </row>
    <row r="12" spans="1:10" x14ac:dyDescent="0.3">
      <c r="A12" s="4">
        <v>1.268</v>
      </c>
      <c r="B12" s="5">
        <f t="shared" si="6"/>
        <v>282.30168791071554</v>
      </c>
      <c r="C12" s="5">
        <v>121.36277259999999</v>
      </c>
      <c r="D12">
        <v>484848</v>
      </c>
      <c r="E12" s="5">
        <v>71.986930417232458</v>
      </c>
      <c r="F12">
        <v>1268</v>
      </c>
      <c r="G12" s="5">
        <f t="shared" si="5"/>
        <v>717.6983120892844</v>
      </c>
      <c r="H12" s="5">
        <f t="shared" si="7"/>
        <v>71.769831208928437</v>
      </c>
    </row>
    <row r="13" spans="1:10" x14ac:dyDescent="0.3">
      <c r="A13" s="4">
        <v>1.585</v>
      </c>
      <c r="B13" s="5">
        <f t="shared" si="6"/>
        <v>244.67756877690817</v>
      </c>
      <c r="C13" s="5">
        <v>156.51748218749998</v>
      </c>
      <c r="D13" t="s">
        <v>77</v>
      </c>
      <c r="E13" s="5">
        <v>62.392780038111582</v>
      </c>
      <c r="F13">
        <v>1585</v>
      </c>
      <c r="G13" s="5">
        <f t="shared" si="5"/>
        <v>755.32243122309183</v>
      </c>
      <c r="H13" s="5">
        <f t="shared" si="7"/>
        <v>75.532243122309183</v>
      </c>
    </row>
    <row r="14" spans="1:10" x14ac:dyDescent="0.3">
      <c r="A14" s="4">
        <v>1.9019999999999999</v>
      </c>
      <c r="B14" s="5">
        <f t="shared" si="6"/>
        <v>217.69024983633781</v>
      </c>
      <c r="C14" s="5">
        <v>190.58439835000001</v>
      </c>
      <c r="D14">
        <v>383838</v>
      </c>
      <c r="E14" s="5">
        <v>55.511013708266148</v>
      </c>
      <c r="F14">
        <v>1902</v>
      </c>
      <c r="G14" s="5">
        <f t="shared" si="5"/>
        <v>782.30975016366222</v>
      </c>
      <c r="H14" s="5">
        <f t="shared" si="7"/>
        <v>78.230975016366216</v>
      </c>
    </row>
    <row r="15" spans="1:10" x14ac:dyDescent="0.3">
      <c r="A15" s="4">
        <v>2.2189999999999999</v>
      </c>
      <c r="B15" s="5">
        <f>328.71*A15^(-0.641)</f>
        <v>197.20870699513659</v>
      </c>
      <c r="C15" s="5">
        <v>223.56352108749996</v>
      </c>
      <c r="D15">
        <v>323232</v>
      </c>
      <c r="E15" s="5">
        <v>50.288220283759827</v>
      </c>
      <c r="F15">
        <v>2219</v>
      </c>
      <c r="G15" s="5">
        <f t="shared" si="5"/>
        <v>802.79129300486341</v>
      </c>
      <c r="H15" s="5">
        <f t="shared" si="7"/>
        <v>80.279129300486346</v>
      </c>
    </row>
    <row r="16" spans="1:10" x14ac:dyDescent="0.3">
      <c r="A16" s="4">
        <v>2.536</v>
      </c>
      <c r="B16" s="5">
        <f t="shared" si="6"/>
        <v>181.03112388352878</v>
      </c>
      <c r="C16" s="5">
        <v>255.45485039999994</v>
      </c>
      <c r="D16" t="s">
        <v>78</v>
      </c>
      <c r="E16" s="5">
        <v>46.162936590299843</v>
      </c>
      <c r="F16">
        <v>2536</v>
      </c>
      <c r="G16" s="5">
        <f t="shared" si="5"/>
        <v>818.96887611647117</v>
      </c>
      <c r="H16" s="5">
        <f t="shared" si="7"/>
        <v>81.896887611647117</v>
      </c>
    </row>
    <row r="17" spans="1:9" x14ac:dyDescent="0.3">
      <c r="A17" s="4">
        <v>2.8530000000000002</v>
      </c>
      <c r="B17" s="5">
        <f t="shared" si="6"/>
        <v>167.86667208591064</v>
      </c>
      <c r="C17" s="5">
        <v>286.2583862875</v>
      </c>
      <c r="D17" t="s">
        <v>79</v>
      </c>
      <c r="E17" s="5">
        <v>42.806001381907215</v>
      </c>
      <c r="F17">
        <v>2853</v>
      </c>
      <c r="G17" s="5">
        <f t="shared" si="5"/>
        <v>832.13332791408936</v>
      </c>
      <c r="H17" s="5">
        <f t="shared" si="7"/>
        <v>83.213332791408931</v>
      </c>
    </row>
    <row r="18" spans="1:9" x14ac:dyDescent="0.3">
      <c r="A18">
        <v>3.17</v>
      </c>
      <c r="B18" s="5">
        <f t="shared" si="6"/>
        <v>156.90396891563105</v>
      </c>
      <c r="C18" s="5">
        <v>315.97412874999998</v>
      </c>
      <c r="D18">
        <v>282828</v>
      </c>
      <c r="E18" s="5">
        <v>40.010512073485913</v>
      </c>
      <c r="F18">
        <v>3170</v>
      </c>
      <c r="G18" s="5">
        <f t="shared" si="5"/>
        <v>843.09603108436897</v>
      </c>
      <c r="H18" s="5">
        <f t="shared" si="7"/>
        <v>84.309603108436903</v>
      </c>
    </row>
    <row r="23" spans="1:9" x14ac:dyDescent="0.3">
      <c r="A23" t="s">
        <v>17</v>
      </c>
      <c r="B23" t="s">
        <v>18</v>
      </c>
      <c r="C23" t="s">
        <v>19</v>
      </c>
      <c r="E23" t="s">
        <v>55</v>
      </c>
      <c r="F23" t="s">
        <v>62</v>
      </c>
      <c r="G23" t="s">
        <v>59</v>
      </c>
      <c r="H23" t="s">
        <v>7</v>
      </c>
      <c r="I23" t="s">
        <v>57</v>
      </c>
    </row>
    <row r="24" spans="1:9" x14ac:dyDescent="0.3">
      <c r="A24">
        <v>317</v>
      </c>
      <c r="B24" t="s">
        <v>8</v>
      </c>
      <c r="C24" t="s">
        <v>20</v>
      </c>
      <c r="E24" s="5">
        <f>2/3*E9</f>
        <v>116.70322313900812</v>
      </c>
      <c r="F24" s="5">
        <f>E9/2</f>
        <v>87.527417354256087</v>
      </c>
      <c r="G24" t="s">
        <v>47</v>
      </c>
      <c r="H24">
        <v>0</v>
      </c>
    </row>
    <row r="25" spans="1:9" x14ac:dyDescent="0.3">
      <c r="A25">
        <v>634</v>
      </c>
      <c r="B25" t="s">
        <v>9</v>
      </c>
      <c r="C25" t="s">
        <v>21</v>
      </c>
      <c r="E25" s="5">
        <f t="shared" ref="E25:E33" si="8">2/3*E10</f>
        <v>74.838077668054041</v>
      </c>
      <c r="F25" s="5">
        <f t="shared" ref="F25:F33" si="9">E10/2</f>
        <v>56.128558251040531</v>
      </c>
      <c r="G25" t="s">
        <v>48</v>
      </c>
      <c r="H25" s="5">
        <v>87.527417354256087</v>
      </c>
      <c r="I25" t="s">
        <v>63</v>
      </c>
    </row>
    <row r="26" spans="1:9" x14ac:dyDescent="0.3">
      <c r="A26">
        <v>951</v>
      </c>
      <c r="B26" t="s">
        <v>10</v>
      </c>
      <c r="C26" t="s">
        <v>22</v>
      </c>
      <c r="E26" s="5">
        <f t="shared" si="8"/>
        <v>57.709608275464873</v>
      </c>
      <c r="F26" s="5">
        <f t="shared" si="9"/>
        <v>43.282206206598659</v>
      </c>
      <c r="G26" t="s">
        <v>49</v>
      </c>
      <c r="H26" s="5">
        <v>56.128558251040531</v>
      </c>
      <c r="I26" t="s">
        <v>64</v>
      </c>
    </row>
    <row r="27" spans="1:9" x14ac:dyDescent="0.3">
      <c r="A27">
        <v>1268</v>
      </c>
      <c r="B27" t="s">
        <v>11</v>
      </c>
      <c r="C27" t="s">
        <v>23</v>
      </c>
      <c r="E27" s="5">
        <f t="shared" si="8"/>
        <v>47.991286944821638</v>
      </c>
      <c r="F27" s="5">
        <f t="shared" si="9"/>
        <v>35.993465208616229</v>
      </c>
      <c r="G27" t="s">
        <v>50</v>
      </c>
      <c r="H27" s="5">
        <v>43.282206206598659</v>
      </c>
      <c r="I27" t="s">
        <v>65</v>
      </c>
    </row>
    <row r="28" spans="1:9" x14ac:dyDescent="0.3">
      <c r="A28">
        <v>1585</v>
      </c>
      <c r="B28" t="s">
        <v>12</v>
      </c>
      <c r="C28" t="s">
        <v>24</v>
      </c>
      <c r="E28" s="5">
        <f t="shared" si="8"/>
        <v>41.595186692074385</v>
      </c>
      <c r="F28" s="5">
        <f t="shared" si="9"/>
        <v>31.196390019055791</v>
      </c>
      <c r="G28" t="s">
        <v>51</v>
      </c>
      <c r="H28" s="5">
        <v>40.417499999999997</v>
      </c>
      <c r="I28" t="s">
        <v>66</v>
      </c>
    </row>
    <row r="29" spans="1:9" x14ac:dyDescent="0.3">
      <c r="A29">
        <v>1902</v>
      </c>
      <c r="B29" t="s">
        <v>13</v>
      </c>
      <c r="C29" t="s">
        <v>25</v>
      </c>
      <c r="E29" s="5">
        <f t="shared" si="8"/>
        <v>37.007342472177427</v>
      </c>
      <c r="F29" s="5">
        <f t="shared" si="9"/>
        <v>27.755506854133074</v>
      </c>
      <c r="G29" t="s">
        <v>52</v>
      </c>
      <c r="H29" s="5">
        <v>35.827500000000001</v>
      </c>
      <c r="I29" t="s">
        <v>67</v>
      </c>
    </row>
    <row r="30" spans="1:9" x14ac:dyDescent="0.3">
      <c r="A30">
        <v>2219</v>
      </c>
      <c r="B30" t="s">
        <v>14</v>
      </c>
      <c r="C30" t="s">
        <v>26</v>
      </c>
      <c r="E30" s="5">
        <f t="shared" si="8"/>
        <v>33.525480189173216</v>
      </c>
      <c r="F30" s="5">
        <f t="shared" si="9"/>
        <v>25.144110141879914</v>
      </c>
      <c r="G30" t="s">
        <v>53</v>
      </c>
      <c r="H30" s="5">
        <v>25.5</v>
      </c>
      <c r="I30" t="s">
        <v>68</v>
      </c>
    </row>
    <row r="31" spans="1:9" x14ac:dyDescent="0.3">
      <c r="A31">
        <v>2536</v>
      </c>
      <c r="B31" t="s">
        <v>15</v>
      </c>
      <c r="C31" t="s">
        <v>27</v>
      </c>
      <c r="E31" s="5">
        <f t="shared" si="8"/>
        <v>30.775291060199894</v>
      </c>
      <c r="F31" s="5">
        <f t="shared" si="9"/>
        <v>23.081468295149921</v>
      </c>
      <c r="G31" t="s">
        <v>54</v>
      </c>
      <c r="H31" s="5">
        <v>20.91</v>
      </c>
      <c r="I31" t="s">
        <v>69</v>
      </c>
    </row>
    <row r="32" spans="1:9" x14ac:dyDescent="0.3">
      <c r="A32">
        <v>2853</v>
      </c>
      <c r="B32" t="s">
        <v>16</v>
      </c>
      <c r="C32" t="s">
        <v>28</v>
      </c>
      <c r="E32" s="5">
        <f t="shared" si="8"/>
        <v>28.537334254604808</v>
      </c>
      <c r="F32" s="5">
        <f t="shared" si="9"/>
        <v>21.403000690953608</v>
      </c>
    </row>
    <row r="33" spans="1:6" x14ac:dyDescent="0.3">
      <c r="A33">
        <v>3170</v>
      </c>
      <c r="B33" s="5">
        <v>843.09603108436897</v>
      </c>
      <c r="C33" t="s">
        <v>29</v>
      </c>
      <c r="E33" s="5">
        <f t="shared" si="8"/>
        <v>26.673674715657274</v>
      </c>
      <c r="F33" s="5">
        <f t="shared" si="9"/>
        <v>20.005256036742956</v>
      </c>
    </row>
    <row r="36" spans="1:6" x14ac:dyDescent="0.3">
      <c r="A36" t="s">
        <v>35</v>
      </c>
      <c r="B36">
        <v>1</v>
      </c>
      <c r="C36" t="s">
        <v>36</v>
      </c>
      <c r="E36">
        <f>A9*1000</f>
        <v>317</v>
      </c>
    </row>
    <row r="37" spans="1:6" x14ac:dyDescent="0.3">
      <c r="B37">
        <v>3600</v>
      </c>
      <c r="C37" t="s">
        <v>37</v>
      </c>
      <c r="E37">
        <f t="shared" ref="E37:E45" si="10">A10*1000</f>
        <v>634</v>
      </c>
    </row>
    <row r="38" spans="1:6" x14ac:dyDescent="0.3">
      <c r="A38" t="s">
        <v>40</v>
      </c>
      <c r="B38">
        <v>263</v>
      </c>
      <c r="C38" t="s">
        <v>39</v>
      </c>
      <c r="E38">
        <f t="shared" si="10"/>
        <v>951</v>
      </c>
    </row>
    <row r="39" spans="1:6" x14ac:dyDescent="0.3">
      <c r="A39" t="s">
        <v>38</v>
      </c>
      <c r="B39" s="4">
        <v>16.4375</v>
      </c>
      <c r="C39" t="s">
        <v>41</v>
      </c>
      <c r="E39">
        <f t="shared" si="10"/>
        <v>1268</v>
      </c>
    </row>
    <row r="40" spans="1:6" x14ac:dyDescent="0.3">
      <c r="A40" t="s">
        <v>42</v>
      </c>
      <c r="B40" s="4">
        <v>0.12656875000000001</v>
      </c>
      <c r="C40" t="s">
        <v>44</v>
      </c>
      <c r="E40">
        <f t="shared" si="10"/>
        <v>1585</v>
      </c>
    </row>
    <row r="41" spans="1:6" x14ac:dyDescent="0.3">
      <c r="B41" s="4">
        <v>126.56875000000001</v>
      </c>
      <c r="C41" t="s">
        <v>45</v>
      </c>
      <c r="E41">
        <f t="shared" si="10"/>
        <v>1902</v>
      </c>
    </row>
    <row r="42" spans="1:6" x14ac:dyDescent="0.3">
      <c r="B42" s="4">
        <v>3.5157986111111116E-2</v>
      </c>
      <c r="C42" t="s">
        <v>43</v>
      </c>
      <c r="E42">
        <f t="shared" si="10"/>
        <v>2219</v>
      </c>
    </row>
    <row r="43" spans="1:6" x14ac:dyDescent="0.3">
      <c r="B43" s="4">
        <v>35157.986111111117</v>
      </c>
      <c r="C43" t="s">
        <v>46</v>
      </c>
      <c r="E43">
        <f t="shared" si="10"/>
        <v>2536</v>
      </c>
    </row>
    <row r="44" spans="1:6" x14ac:dyDescent="0.3">
      <c r="E44">
        <f t="shared" si="10"/>
        <v>2853</v>
      </c>
    </row>
    <row r="45" spans="1:6" x14ac:dyDescent="0.3">
      <c r="E45">
        <f t="shared" si="10"/>
        <v>3170</v>
      </c>
    </row>
  </sheetData>
  <phoneticPr fontId="1" type="noConversion"/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New_AEGL</vt:lpstr>
      <vt:lpstr>ppm-dist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2026-04-08T06:53:59Z</dcterms:modified>
</cp:coreProperties>
</file>