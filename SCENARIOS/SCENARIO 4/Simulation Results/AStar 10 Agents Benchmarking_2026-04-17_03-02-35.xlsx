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4\Simulation Results\"/>
    </mc:Choice>
  </mc:AlternateContent>
  <xr:revisionPtr revIDLastSave="0" documentId="13_ncr:1_{50090332-86EE-408F-8ABD-F267B8E43B10}" xr6:coauthVersionLast="47" xr6:coauthVersionMax="47" xr10:uidLastSave="{00000000-0000-0000-0000-000000000000}"/>
  <bookViews>
    <workbookView xWindow="-108" yWindow="-108" windowWidth="23256" windowHeight="12456" xr2:uid="{52D9C27D-0EF6-DD41-9728-0267E68F7539}"/>
  </bookViews>
  <sheets>
    <sheet name="Runs" sheetId="1" r:id="rId1"/>
    <sheet name="ActiveGoals" sheetId="4" r:id="rId2"/>
    <sheet name="Sheet1" sheetId="3" r:id="rId3"/>
    <sheet name="AStar 10 Agents Benchmarking 2" sheetId="2" r:id="rId4"/>
  </sheets>
  <definedNames>
    <definedName name="_xlnm._FilterDatabase" localSheetId="0" hidden="1">Runs!$A$1:$P$59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2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M2" i="4"/>
  <c r="P2" i="4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2" i="4"/>
  <c r="N2" i="4"/>
  <c r="N3" i="4"/>
  <c r="N4" i="4"/>
  <c r="N5" i="4"/>
  <c r="N7" i="4"/>
  <c r="N8" i="4"/>
  <c r="N9" i="4"/>
  <c r="N10" i="4"/>
  <c r="N11" i="4"/>
  <c r="N12" i="4"/>
  <c r="N13" i="4"/>
  <c r="N14" i="4"/>
  <c r="N15" i="4"/>
  <c r="N16" i="4"/>
  <c r="N17" i="4"/>
  <c r="N6" i="4"/>
  <c r="L4" i="4"/>
  <c r="M4" i="4"/>
  <c r="L5" i="4"/>
  <c r="M5" i="4"/>
  <c r="L6" i="4"/>
  <c r="M6" i="4"/>
  <c r="L7" i="4"/>
  <c r="M7" i="4"/>
  <c r="L8" i="4"/>
  <c r="M8" i="4"/>
  <c r="L9" i="4"/>
  <c r="M9" i="4"/>
  <c r="L10" i="4"/>
  <c r="M10" i="4"/>
  <c r="L11" i="4"/>
  <c r="M11" i="4"/>
  <c r="L12" i="4"/>
  <c r="M12" i="4"/>
  <c r="L13" i="4"/>
  <c r="M13" i="4"/>
  <c r="L14" i="4"/>
  <c r="M14" i="4"/>
  <c r="L15" i="4"/>
  <c r="M15" i="4"/>
  <c r="L16" i="4"/>
  <c r="M16" i="4"/>
  <c r="L17" i="4"/>
  <c r="M17" i="4"/>
  <c r="M3" i="4"/>
  <c r="L3" i="4"/>
  <c r="L2" i="4"/>
  <c r="H4" i="3"/>
  <c r="H5" i="3"/>
  <c r="H6" i="3"/>
  <c r="H7" i="3"/>
  <c r="H8" i="3"/>
  <c r="H3" i="3"/>
  <c r="H2" i="3"/>
</calcChain>
</file>

<file path=xl/sharedStrings.xml><?xml version="1.0" encoding="utf-8"?>
<sst xmlns="http://schemas.openxmlformats.org/spreadsheetml/2006/main" count="236" uniqueCount="131">
  <si>
    <t>Run</t>
  </si>
  <si>
    <t>GoalCombinationIndex</t>
  </si>
  <si>
    <t>Seed</t>
  </si>
  <si>
    <t>InitialPathfindingTime_s</t>
  </si>
  <si>
    <t>IncrementalPathfindingTime_s</t>
  </si>
  <si>
    <t>SimulationTime_s</t>
  </si>
  <si>
    <t>SumTL_capped</t>
  </si>
  <si>
    <t>N_active_goals</t>
  </si>
  <si>
    <t>ActiveGoalIndices_1to16</t>
  </si>
  <si>
    <t>ActiveGoals_xy</t>
  </si>
  <si>
    <t>1</t>
  </si>
  <si>
    <t>(500.0,854.0)</t>
  </si>
  <si>
    <t>2;8;15</t>
  </si>
  <si>
    <t>(120.0,248.0); (864.0,503.0); (209.0,787.0)</t>
  </si>
  <si>
    <t>7;14;15</t>
  </si>
  <si>
    <t>(703.0,187.0); (145.0,630.0); (209.0,787.0)</t>
  </si>
  <si>
    <t>1;5;8;11</t>
  </si>
  <si>
    <t>(500.0,854.0); (853.0,659.0); (864.0,503.0); (223.0,198.0)</t>
  </si>
  <si>
    <t>2;4;8;14</t>
  </si>
  <si>
    <t>(120.0,248.0); (351.0,924.0); (864.0,503.0); (145.0,630.0)</t>
  </si>
  <si>
    <t>3;5;9;15</t>
  </si>
  <si>
    <t>(691.0,750.0); (853.0,659.0); (652.0,73.0); (209.0,787.0)</t>
  </si>
  <si>
    <t>4;7;11;15</t>
  </si>
  <si>
    <t>(351.0,924.0); (703.0,187.0); (223.0,198.0); (209.0,787.0)</t>
  </si>
  <si>
    <t>6;9;11;15</t>
  </si>
  <si>
    <t>(795.0,375.0); (652.0,73.0); (223.0,198.0); (209.0,787.0)</t>
  </si>
  <si>
    <t>1;2;4;10;13</t>
  </si>
  <si>
    <t>(500.0,854.0); (120.0,248.0); (351.0,924.0); (325.0,150.0); (88.0,493.0)</t>
  </si>
  <si>
    <t>1;3;8;12;15</t>
  </si>
  <si>
    <t>(500.0,854.0); (691.0,750.0); (864.0,503.0); (473.0,78.0); (209.0,787.0)</t>
  </si>
  <si>
    <t>1;5;8;10;11</t>
  </si>
  <si>
    <t>(500.0,854.0); (853.0,659.0); (864.0,503.0); (325.0,150.0); (223.0,198.0)</t>
  </si>
  <si>
    <t>1;9;10;13;16</t>
  </si>
  <si>
    <t>(500.0,854.0); (652.0,73.0); (325.0,150.0); (88.0,493.0); (39.0,379.0)</t>
  </si>
  <si>
    <t>2;4;5;8;15</t>
  </si>
  <si>
    <t>(120.0,248.0); (351.0,924.0); (853.0,659.0); (864.0,503.0); (209.0,787.0)</t>
  </si>
  <si>
    <t>2;6;7;12;13</t>
  </si>
  <si>
    <t>(120.0,248.0); (795.0,375.0); (703.0,187.0); (473.0,78.0); (88.0,493.0)</t>
  </si>
  <si>
    <t>3;4;10;11;14</t>
  </si>
  <si>
    <t>(691.0,750.0); (351.0,924.0); (325.0,150.0); (223.0,198.0); (145.0,630.0)</t>
  </si>
  <si>
    <t>3;7;8;15;16</t>
  </si>
  <si>
    <t>(691.0,750.0); (703.0,187.0); (864.0,503.0); (209.0,787.0); (39.0,379.0)</t>
  </si>
  <si>
    <t>4;5;11;14;16</t>
  </si>
  <si>
    <t>(351.0,924.0); (853.0,659.0); (223.0,198.0); (145.0,630.0); (39.0,379.0)</t>
  </si>
  <si>
    <t>5;6;8;11;12</t>
  </si>
  <si>
    <t>(853.0,659.0); (795.0,375.0); (864.0,503.0); (223.0,198.0); (473.0,78.0)</t>
  </si>
  <si>
    <t>6;9;10;11;15</t>
  </si>
  <si>
    <t>(795.0,375.0); (652.0,73.0); (325.0,150.0); (223.0,198.0); (209.0,787.0)</t>
  </si>
  <si>
    <t>1;2;3;9;13;14</t>
  </si>
  <si>
    <t>(500.0,854.0); (120.0,248.0); (691.0,750.0); (652.0,73.0); (88.0,493.0); (145.0,630.0)</t>
  </si>
  <si>
    <t>1;2;6;7;12;16</t>
  </si>
  <si>
    <t>(500.0,854.0); (120.0,248.0); (795.0,375.0); (703.0,187.0); (473.0,78.0); (39.0,379.0)</t>
  </si>
  <si>
    <t>1;3;7;9;13;15</t>
  </si>
  <si>
    <t>(500.0,854.0); (691.0,750.0); (703.0,187.0); (652.0,73.0); (88.0,493.0); (209.0,787.0)</t>
  </si>
  <si>
    <t>1;4;8;9;10;11</t>
  </si>
  <si>
    <t>(500.0,854.0); (351.0,924.0); (864.0,503.0); (652.0,73.0); (325.0,150.0); (223.0,198.0)</t>
  </si>
  <si>
    <t>1;5;8;10;15;16</t>
  </si>
  <si>
    <t>(500.0,854.0); (853.0,659.0); (864.0,503.0); (325.0,150.0); (209.0,787.0); (39.0,379.0)</t>
  </si>
  <si>
    <t>1;9;10;11;13;14</t>
  </si>
  <si>
    <t>(500.0,854.0); (652.0,73.0); (325.0,150.0); (223.0,198.0); (88.0,493.0); (145.0,630.0)</t>
  </si>
  <si>
    <t>2;3;6;7;15;16</t>
  </si>
  <si>
    <t>(120.0,248.0); (691.0,750.0); (795.0,375.0); (703.0,187.0); (209.0,787.0); (39.0,379.0)</t>
  </si>
  <si>
    <t>2;4;6;7;11;13</t>
  </si>
  <si>
    <t>(120.0,248.0); (351.0,924.0); (795.0,375.0); (703.0,187.0); (223.0,198.0); (88.0,493.0)</t>
  </si>
  <si>
    <t>2;5;7;12;13;16</t>
  </si>
  <si>
    <t>(120.0,248.0); (853.0,659.0); (703.0,187.0); (473.0,78.0); (88.0,493.0); (39.0,379.0)</t>
  </si>
  <si>
    <t>3;4;7;9;14;16</t>
  </si>
  <si>
    <t>(691.0,750.0); (351.0,924.0); (703.0,187.0); (652.0,73.0); (145.0,630.0); (39.0,379.0)</t>
  </si>
  <si>
    <t>3;5;8;9;10;14</t>
  </si>
  <si>
    <t>(691.0,750.0); (853.0,659.0); (864.0,503.0); (652.0,73.0); (325.0,150.0); (145.0,630.0)</t>
  </si>
  <si>
    <t>3;8;9;11;12;16</t>
  </si>
  <si>
    <t>(691.0,750.0); (864.0,503.0); (652.0,73.0); (223.0,198.0); (473.0,78.0); (39.0,379.0)</t>
  </si>
  <si>
    <t>4;5;10;11;14;15</t>
  </si>
  <si>
    <t>(351.0,924.0); (853.0,659.0); (325.0,150.0); (223.0,198.0); (145.0,630.0); (209.0,787.0)</t>
  </si>
  <si>
    <t>5;6;8;10;11;15</t>
  </si>
  <si>
    <t>(853.0,659.0); (795.0,375.0); (864.0,503.0); (325.0,150.0); (223.0,198.0); (209.0,787.0)</t>
  </si>
  <si>
    <t>7;9;10;12;13;15</t>
  </si>
  <si>
    <t>(703.0,187.0); (652.0,73.0); (325.0,150.0); (473.0,78.0); (88.0,493.0); (209.0,787.0)</t>
  </si>
  <si>
    <t>1;2;4;7;9;10;13</t>
  </si>
  <si>
    <t>(500.0,854.0); (120.0,248.0); (351.0,924.0); (703.0,187.0); (652.0,73.0); (325.0,150.0); (88.0,493.0)</t>
  </si>
  <si>
    <t>1;2;6;8;11;14;16</t>
  </si>
  <si>
    <t>(500.0,854.0); (120.0,248.0); (795.0,375.0); (864.0,503.0); (223.0,198.0); (145.0,630.0); (39.0,379.0)</t>
  </si>
  <si>
    <t>1;3;8;10;11;14;15</t>
  </si>
  <si>
    <t>(500.0,854.0); (691.0,750.0); (864.0,503.0); (325.0,150.0); (223.0,198.0); (145.0,630.0); (209.0,787.0)</t>
  </si>
  <si>
    <t>1;5;6;7;11;12;13</t>
  </si>
  <si>
    <t>(500.0,854.0); (853.0,659.0); (795.0,375.0); (703.0,187.0); (223.0,198.0); (473.0,78.0); (88.0,493.0)</t>
  </si>
  <si>
    <t>1;7;8;10;12;13;15</t>
  </si>
  <si>
    <t>(500.0,854.0); (703.0,187.0); (864.0,503.0); (325.0,150.0); (473.0,78.0); (88.0,493.0); (209.0,787.0)</t>
  </si>
  <si>
    <t>2;3;5;6;12;15;16</t>
  </si>
  <si>
    <t>(120.0,248.0); (691.0,750.0); (853.0,659.0); (795.0,375.0); (473.0,78.0); (209.0,787.0); (39.0,379.0)</t>
  </si>
  <si>
    <t>2;4;5;7;8;12;15</t>
  </si>
  <si>
    <t>(120.0,248.0); (351.0,924.0); (853.0,659.0); (703.0,187.0); (864.0,503.0); (473.0,78.0); (209.0,787.0)</t>
  </si>
  <si>
    <t>2;5;8;9;10;14;15</t>
  </si>
  <si>
    <t>(120.0,248.0); (853.0,659.0); (864.0,503.0); (652.0,73.0); (325.0,150.0); (145.0,630.0); (209.0,787.0)</t>
  </si>
  <si>
    <t>3;5;6;8;10;11;15</t>
  </si>
  <si>
    <t>(691.0,750.0); (853.0,659.0); (795.0,375.0); (864.0,503.0); (325.0,150.0); (223.0,198.0); (209.0,787.0)</t>
  </si>
  <si>
    <t>3;7;9;10;12;13;14</t>
  </si>
  <si>
    <t>(691.0,750.0); (703.0,187.0); (652.0,73.0); (325.0,150.0); (473.0,78.0); (88.0,493.0); (145.0,630.0)</t>
  </si>
  <si>
    <t>4;6;7;11;12;15;16</t>
  </si>
  <si>
    <t>(351.0,924.0); (795.0,375.0); (703.0,187.0); (223.0,198.0); (473.0,78.0); (209.0,787.0); (39.0,379.0)</t>
  </si>
  <si>
    <t>1;2;3;8;9;11;14;16</t>
  </si>
  <si>
    <t>(500.0,854.0); (120.0,248.0); (691.0,750.0); (864.0,503.0); (652.0,73.0); (223.0,198.0); (145.0,630.0); (39.0,379.0)</t>
  </si>
  <si>
    <t>1;3;7;9;10;11;14;15</t>
  </si>
  <si>
    <t>(500.0,854.0); (691.0,750.0); (703.0,187.0); (652.0,73.0); (325.0,150.0); (223.0,198.0); (145.0,630.0); (209.0,787.0)</t>
  </si>
  <si>
    <t>2;3;4;6;9;12;13;15</t>
  </si>
  <si>
    <t>(120.0,248.0); (691.0,750.0); (351.0,924.0); (795.0,375.0); (652.0,73.0); (473.0,78.0); (88.0,493.0); (209.0,787.0)</t>
  </si>
  <si>
    <t>3;4;6;8;10;12;13;14</t>
  </si>
  <si>
    <t>(691.0,750.0); (351.0,924.0); (795.0,375.0); (864.0,503.0); (325.0,150.0); (473.0,78.0); (88.0,493.0); (145.0,630.0)</t>
  </si>
  <si>
    <t>4;5;8;9;11;12;15;16</t>
  </si>
  <si>
    <t>(351.0,924.0); (853.0,659.0); (864.0,503.0); (652.0,73.0); (223.0,198.0); (473.0,78.0); (209.0,787.0); (39.0,379.0)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</si>
  <si>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</si>
  <si>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</si>
  <si>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</si>
  <si>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</si>
  <si>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</si>
  <si>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</si>
  <si>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</si>
  <si>
    <t>BENCHMARK_T_STEPS</t>
  </si>
  <si>
    <t>CM_ACTIVE_FRACTION_BENCH</t>
  </si>
  <si>
    <t>EnumeratedGoalCombinations_N</t>
  </si>
  <si>
    <t>TotalPathfinding</t>
  </si>
  <si>
    <t>k</t>
  </si>
  <si>
    <t>Number</t>
  </si>
  <si>
    <t>Standalone</t>
  </si>
  <si>
    <t>1st</t>
  </si>
  <si>
    <t>Mid</t>
  </si>
  <si>
    <t>Last</t>
  </si>
  <si>
    <t>Total count</t>
  </si>
  <si>
    <t>Frequency</t>
  </si>
  <si>
    <t>Average</t>
  </si>
  <si>
    <t>%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</si>
</sst>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Correlation Analysis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Runs!$I$2:$I$51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xVal>
          <c:yVal>
            <c:numRef>
              <c:f>Runs!$D$2:$D$51</c:f>
              <c:numCache>
                <c:formatCode>General</c:formatCode>
                <c:ptCount val="50"/>
                <c:pt idx="0">
                  <c:v>10.896413000000001</c:v>
                </c:pt>
                <c:pt idx="1">
                  <c:v>19.675656400000001</c:v>
                </c:pt>
                <c:pt idx="2">
                  <c:v>26.846895100000001</c:v>
                </c:pt>
                <c:pt idx="3">
                  <c:v>44.772105500000002</c:v>
                </c:pt>
                <c:pt idx="4">
                  <c:v>31.881101699999999</c:v>
                </c:pt>
                <c:pt idx="5">
                  <c:v>36.514729899999999</c:v>
                </c:pt>
                <c:pt idx="6">
                  <c:v>44.457005799999997</c:v>
                </c:pt>
                <c:pt idx="7">
                  <c:v>29.072475099999998</c:v>
                </c:pt>
                <c:pt idx="8">
                  <c:v>45.380124199999997</c:v>
                </c:pt>
                <c:pt idx="9">
                  <c:v>59.726172200000001</c:v>
                </c:pt>
                <c:pt idx="10">
                  <c:v>35.120420699999997</c:v>
                </c:pt>
                <c:pt idx="11">
                  <c:v>51.276434500000001</c:v>
                </c:pt>
                <c:pt idx="12">
                  <c:v>38.102591599999997</c:v>
                </c:pt>
                <c:pt idx="13">
                  <c:v>54.4724772</c:v>
                </c:pt>
                <c:pt idx="14">
                  <c:v>29.4882831</c:v>
                </c:pt>
                <c:pt idx="15">
                  <c:v>42.9043299</c:v>
                </c:pt>
                <c:pt idx="16">
                  <c:v>49.601689399999998</c:v>
                </c:pt>
                <c:pt idx="17">
                  <c:v>49.385160300000003</c:v>
                </c:pt>
                <c:pt idx="18">
                  <c:v>47.924104700000001</c:v>
                </c:pt>
                <c:pt idx="19">
                  <c:v>50.5617953</c:v>
                </c:pt>
                <c:pt idx="20">
                  <c:v>53.378993700000002</c:v>
                </c:pt>
                <c:pt idx="21">
                  <c:v>46.925244900000003</c:v>
                </c:pt>
                <c:pt idx="22">
                  <c:v>46.742056400000003</c:v>
                </c:pt>
                <c:pt idx="23">
                  <c:v>43.403570700000003</c:v>
                </c:pt>
                <c:pt idx="24">
                  <c:v>58.070708199999999</c:v>
                </c:pt>
                <c:pt idx="25">
                  <c:v>42.964082099999999</c:v>
                </c:pt>
                <c:pt idx="26">
                  <c:v>54.563878000000003</c:v>
                </c:pt>
                <c:pt idx="27">
                  <c:v>55.860442300000003</c:v>
                </c:pt>
                <c:pt idx="28">
                  <c:v>46.824295200000002</c:v>
                </c:pt>
                <c:pt idx="29">
                  <c:v>38.819582799999999</c:v>
                </c:pt>
                <c:pt idx="30">
                  <c:v>37.893149899999997</c:v>
                </c:pt>
                <c:pt idx="31">
                  <c:v>38.847563399999999</c:v>
                </c:pt>
                <c:pt idx="32">
                  <c:v>46.961361199999999</c:v>
                </c:pt>
                <c:pt idx="33">
                  <c:v>51.753356199999999</c:v>
                </c:pt>
                <c:pt idx="34">
                  <c:v>52.503860799999998</c:v>
                </c:pt>
                <c:pt idx="35">
                  <c:v>66.770434600000002</c:v>
                </c:pt>
                <c:pt idx="36">
                  <c:v>71.582181899999995</c:v>
                </c:pt>
                <c:pt idx="37">
                  <c:v>55.787314000000002</c:v>
                </c:pt>
                <c:pt idx="38">
                  <c:v>48.304342200000001</c:v>
                </c:pt>
                <c:pt idx="39">
                  <c:v>54.575156900000003</c:v>
                </c:pt>
                <c:pt idx="40">
                  <c:v>66.102978399999998</c:v>
                </c:pt>
                <c:pt idx="41">
                  <c:v>52.2751199</c:v>
                </c:pt>
                <c:pt idx="42">
                  <c:v>47.420552499999999</c:v>
                </c:pt>
                <c:pt idx="43">
                  <c:v>56.356318100000003</c:v>
                </c:pt>
                <c:pt idx="44">
                  <c:v>57.744571899999997</c:v>
                </c:pt>
                <c:pt idx="45">
                  <c:v>62.187139700000003</c:v>
                </c:pt>
                <c:pt idx="46">
                  <c:v>69.115267500000002</c:v>
                </c:pt>
                <c:pt idx="47">
                  <c:v>59.147561600000003</c:v>
                </c:pt>
                <c:pt idx="48">
                  <c:v>58.972639399999998</c:v>
                </c:pt>
                <c:pt idx="49">
                  <c:v>68.949105200000005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E-4826-9D27-5C0FE29C8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325216"/>
        <c:axId val="917325576"/>
      </c:scatterChart>
      <c:valAx>
        <c:axId val="91732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25576"/>
        <c:crosses val="autoZero"/>
        <c:crossBetween val="midCat"/>
      </c:valAx>
      <c:valAx>
        <c:axId val="91732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2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numRef>
              <c:f>Runs!$I$2:$I$51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cat>
          <c:val>
            <c:numRef>
              <c:f>Runs!$H$2:$H$51</c:f>
              <c:numCache>
                <c:formatCode>General</c:formatCode>
                <c:ptCount val="50"/>
                <c:pt idx="0">
                  <c:v>11.424999999999997</c:v>
                </c:pt>
                <c:pt idx="1">
                  <c:v>2.239999999999994</c:v>
                </c:pt>
                <c:pt idx="2">
                  <c:v>6.7349999999999852</c:v>
                </c:pt>
                <c:pt idx="3">
                  <c:v>0</c:v>
                </c:pt>
                <c:pt idx="4">
                  <c:v>0</c:v>
                </c:pt>
                <c:pt idx="5">
                  <c:v>2.3500000000000014</c:v>
                </c:pt>
                <c:pt idx="6">
                  <c:v>6.3749999999999707</c:v>
                </c:pt>
                <c:pt idx="7">
                  <c:v>6.494999999999969</c:v>
                </c:pt>
                <c:pt idx="8">
                  <c:v>0</c:v>
                </c:pt>
                <c:pt idx="9">
                  <c:v>0.82500000000000051</c:v>
                </c:pt>
                <c:pt idx="10">
                  <c:v>0.94500000000000073</c:v>
                </c:pt>
                <c:pt idx="11">
                  <c:v>1.4600000000000011</c:v>
                </c:pt>
                <c:pt idx="12">
                  <c:v>1.8950000000000014</c:v>
                </c:pt>
                <c:pt idx="13">
                  <c:v>3</c:v>
                </c:pt>
                <c:pt idx="14">
                  <c:v>3</c:v>
                </c:pt>
                <c:pt idx="15">
                  <c:v>3.6300000000000003</c:v>
                </c:pt>
                <c:pt idx="16">
                  <c:v>3.9450000000000003</c:v>
                </c:pt>
                <c:pt idx="17">
                  <c:v>4.2750000000000012</c:v>
                </c:pt>
                <c:pt idx="18">
                  <c:v>6.0199999999999516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0.27500000000000013</c:v>
                </c:pt>
                <c:pt idx="23">
                  <c:v>0.58000000000000029</c:v>
                </c:pt>
                <c:pt idx="24">
                  <c:v>0.60000000000000042</c:v>
                </c:pt>
                <c:pt idx="25">
                  <c:v>0.73000000000000043</c:v>
                </c:pt>
                <c:pt idx="26">
                  <c:v>0.77000000000000046</c:v>
                </c:pt>
                <c:pt idx="27">
                  <c:v>0.80500000000000049</c:v>
                </c:pt>
                <c:pt idx="28">
                  <c:v>0.95000000000000062</c:v>
                </c:pt>
                <c:pt idx="29">
                  <c:v>1.1750000000000007</c:v>
                </c:pt>
                <c:pt idx="30">
                  <c:v>2.0150000000000015</c:v>
                </c:pt>
                <c:pt idx="31">
                  <c:v>2.4149999999999778</c:v>
                </c:pt>
                <c:pt idx="32">
                  <c:v>2.6699999999999955</c:v>
                </c:pt>
                <c:pt idx="33">
                  <c:v>4.620000000000001</c:v>
                </c:pt>
                <c:pt idx="34">
                  <c:v>0</c:v>
                </c:pt>
                <c:pt idx="35">
                  <c:v>0</c:v>
                </c:pt>
                <c:pt idx="36">
                  <c:v>5.0000000000000001E-3</c:v>
                </c:pt>
                <c:pt idx="37">
                  <c:v>7.0000000000000007E-2</c:v>
                </c:pt>
                <c:pt idx="38">
                  <c:v>0.09</c:v>
                </c:pt>
                <c:pt idx="39">
                  <c:v>0.41500000000000026</c:v>
                </c:pt>
                <c:pt idx="40">
                  <c:v>0.87500000000000044</c:v>
                </c:pt>
                <c:pt idx="41">
                  <c:v>0.98000000000000065</c:v>
                </c:pt>
                <c:pt idx="42">
                  <c:v>1.0750000000000006</c:v>
                </c:pt>
                <c:pt idx="43">
                  <c:v>2.1349999999999936</c:v>
                </c:pt>
                <c:pt idx="44">
                  <c:v>2.959999999999984</c:v>
                </c:pt>
                <c:pt idx="45">
                  <c:v>0</c:v>
                </c:pt>
                <c:pt idx="46">
                  <c:v>0</c:v>
                </c:pt>
                <c:pt idx="47">
                  <c:v>0.21000000000000005</c:v>
                </c:pt>
                <c:pt idx="48">
                  <c:v>0.39000000000000024</c:v>
                </c:pt>
                <c:pt idx="49">
                  <c:v>0.66000000000000036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0-4DEF-B3B7-1FAC55EBE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979992"/>
        <c:axId val="843981072"/>
      </c:barChart>
      <c:catAx>
        <c:axId val="84397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3981072"/>
        <c:crosses val="autoZero"/>
        <c:auto val="1"/>
        <c:lblAlgn val="ctr"/>
        <c:lblOffset val="100"/>
        <c:noMultiLvlLbl val="0"/>
      </c:catAx>
      <c:valAx>
        <c:axId val="8439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3979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ActiveGoals!$K$2:$K$17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ActiveGoals!$Q$2:$Q$17</c:f>
              <c:numCache>
                <c:formatCode>0%</c:formatCode>
                <c:ptCount val="16"/>
                <c:pt idx="0">
                  <c:v>0.38</c:v>
                </c:pt>
                <c:pt idx="1">
                  <c:v>0.34</c:v>
                </c:pt>
                <c:pt idx="2">
                  <c:v>0.36</c:v>
                </c:pt>
                <c:pt idx="3">
                  <c:v>0.32</c:v>
                </c:pt>
                <c:pt idx="4">
                  <c:v>0.34</c:v>
                </c:pt>
                <c:pt idx="5">
                  <c:v>0.3</c:v>
                </c:pt>
                <c:pt idx="6">
                  <c:v>0.36</c:v>
                </c:pt>
                <c:pt idx="7">
                  <c:v>0.44</c:v>
                </c:pt>
                <c:pt idx="8">
                  <c:v>0.38</c:v>
                </c:pt>
                <c:pt idx="9">
                  <c:v>0.4</c:v>
                </c:pt>
                <c:pt idx="10">
                  <c:v>0.44</c:v>
                </c:pt>
                <c:pt idx="11">
                  <c:v>0.32</c:v>
                </c:pt>
                <c:pt idx="12">
                  <c:v>0.3</c:v>
                </c:pt>
                <c:pt idx="13">
                  <c:v>0.32</c:v>
                </c:pt>
                <c:pt idx="14">
                  <c:v>0.5</c:v>
                </c:pt>
                <c:pt idx="15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D-4EAC-9A0D-92FBE3426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177064"/>
        <c:axId val="460180664"/>
      </c:barChart>
      <c:lineChart>
        <c:grouping val="standard"/>
        <c:varyColors val="0"/>
        <c:ser>
          <c:idx val="1"/>
          <c:order val="1"/>
          <c:tx>
            <c:strRef>
              <c:f>ActiveGoals!$S$1</c:f>
              <c:strCache>
                <c:ptCount val="1"/>
                <c:pt idx="0">
                  <c:v>% Average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ActiveGoals!$S$2:$S$17</c:f>
              <c:numCache>
                <c:formatCode>0%</c:formatCode>
                <c:ptCount val="16"/>
                <c:pt idx="0">
                  <c:v>0.36125000000000002</c:v>
                </c:pt>
                <c:pt idx="1">
                  <c:v>0.36125000000000002</c:v>
                </c:pt>
                <c:pt idx="2">
                  <c:v>0.36125000000000002</c:v>
                </c:pt>
                <c:pt idx="3">
                  <c:v>0.36125000000000002</c:v>
                </c:pt>
                <c:pt idx="4">
                  <c:v>0.36125000000000002</c:v>
                </c:pt>
                <c:pt idx="5">
                  <c:v>0.36125000000000002</c:v>
                </c:pt>
                <c:pt idx="6">
                  <c:v>0.36125000000000002</c:v>
                </c:pt>
                <c:pt idx="7">
                  <c:v>0.36125000000000002</c:v>
                </c:pt>
                <c:pt idx="8">
                  <c:v>0.36125000000000002</c:v>
                </c:pt>
                <c:pt idx="9">
                  <c:v>0.36125000000000002</c:v>
                </c:pt>
                <c:pt idx="10">
                  <c:v>0.36125000000000002</c:v>
                </c:pt>
                <c:pt idx="11">
                  <c:v>0.36125000000000002</c:v>
                </c:pt>
                <c:pt idx="12">
                  <c:v>0.36125000000000002</c:v>
                </c:pt>
                <c:pt idx="13">
                  <c:v>0.36125000000000002</c:v>
                </c:pt>
                <c:pt idx="14">
                  <c:v>0.36125000000000002</c:v>
                </c:pt>
                <c:pt idx="15">
                  <c:v>0.36125000000000002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D-4EAC-9A0D-92FBE3426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177064"/>
        <c:axId val="460180664"/>
      </c:lineChart>
      <c:catAx>
        <c:axId val="46017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60180664"/>
        <c:crosses val="autoZero"/>
        <c:auto val="1"/>
        <c:lblAlgn val="ctr"/>
        <c:lblOffset val="100"/>
        <c:noMultiLvlLbl val="0"/>
      </c:catAx>
      <c:valAx>
        <c:axId val="46018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60177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ActiveGoals!$K$2:$K$17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ActiveGoals!$P$2:$P$17</c:f>
              <c:numCache>
                <c:formatCode>General</c:formatCode>
                <c:ptCount val="16"/>
                <c:pt idx="0">
                  <c:v>19</c:v>
                </c:pt>
                <c:pt idx="1">
                  <c:v>17</c:v>
                </c:pt>
                <c:pt idx="2">
                  <c:v>18</c:v>
                </c:pt>
                <c:pt idx="3">
                  <c:v>16</c:v>
                </c:pt>
                <c:pt idx="4">
                  <c:v>17</c:v>
                </c:pt>
                <c:pt idx="5">
                  <c:v>15</c:v>
                </c:pt>
                <c:pt idx="6">
                  <c:v>18</c:v>
                </c:pt>
                <c:pt idx="7">
                  <c:v>22</c:v>
                </c:pt>
                <c:pt idx="8">
                  <c:v>19</c:v>
                </c:pt>
                <c:pt idx="9">
                  <c:v>20</c:v>
                </c:pt>
                <c:pt idx="10">
                  <c:v>22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25</c:v>
                </c:pt>
                <c:pt idx="1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3-4233-9882-9320093B2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177064"/>
        <c:axId val="460180664"/>
      </c:barChart>
      <c:lineChart>
        <c:grouping val="standard"/>
        <c:varyColors val="0"/>
        <c:ser>
          <c:idx val="1"/>
          <c:order val="1"/>
          <c:tx>
            <c:v>Average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ActiveGoals!$R$2:$R$17</c:f>
              <c:numCache>
                <c:formatCode>General</c:formatCode>
                <c:ptCount val="16"/>
                <c:pt idx="0">
                  <c:v>18.0625</c:v>
                </c:pt>
                <c:pt idx="1">
                  <c:v>18.0625</c:v>
                </c:pt>
                <c:pt idx="2">
                  <c:v>18.0625</c:v>
                </c:pt>
                <c:pt idx="3">
                  <c:v>18.0625</c:v>
                </c:pt>
                <c:pt idx="4">
                  <c:v>18.0625</c:v>
                </c:pt>
                <c:pt idx="5">
                  <c:v>18.0625</c:v>
                </c:pt>
                <c:pt idx="6">
                  <c:v>18.0625</c:v>
                </c:pt>
                <c:pt idx="7">
                  <c:v>18.0625</c:v>
                </c:pt>
                <c:pt idx="8">
                  <c:v>18.0625</c:v>
                </c:pt>
                <c:pt idx="9">
                  <c:v>18.0625</c:v>
                </c:pt>
                <c:pt idx="10">
                  <c:v>18.0625</c:v>
                </c:pt>
                <c:pt idx="11">
                  <c:v>18.0625</c:v>
                </c:pt>
                <c:pt idx="12">
                  <c:v>18.0625</c:v>
                </c:pt>
                <c:pt idx="13">
                  <c:v>18.0625</c:v>
                </c:pt>
                <c:pt idx="14">
                  <c:v>18.0625</c:v>
                </c:pt>
                <c:pt idx="15">
                  <c:v>18.0625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73-4233-9882-9320093B2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177064"/>
        <c:axId val="460180664"/>
      </c:lineChart>
      <c:catAx>
        <c:axId val="46017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60180664"/>
        <c:crosses val="autoZero"/>
        <c:auto val="1"/>
        <c:lblAlgn val="ctr"/>
        <c:lblOffset val="100"/>
        <c:noMultiLvlLbl val="0"/>
      </c:catAx>
      <c:valAx>
        <c:axId val="46018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60177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Sheet1!$D$2:$D$8</c:f>
              <c:numCache>
                <c:formatCode>General</c:formatCode>
                <c:ptCount val="7"/>
                <c:pt idx="0">
                  <c:v>11.424999999999997</c:v>
                </c:pt>
                <c:pt idx="1">
                  <c:v>4.4874999999999901</c:v>
                </c:pt>
                <c:pt idx="2">
                  <c:v>3.0439999999999885</c:v>
                </c:pt>
                <c:pt idx="3">
                  <c:v>2.6359090909090868</c:v>
                </c:pt>
                <c:pt idx="4">
                  <c:v>1.1736666666666653</c:v>
                </c:pt>
                <c:pt idx="5">
                  <c:v>0.78227272727272534</c:v>
                </c:pt>
                <c:pt idx="6">
                  <c:v>0.25200000000000011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7-46EA-80BF-576F508FA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93616"/>
        <c:axId val="917388216"/>
      </c:barChart>
      <c:catAx>
        <c:axId val="91739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88216"/>
        <c:crosses val="autoZero"/>
        <c:auto val="1"/>
        <c:lblAlgn val="ctr"/>
        <c:lblOffset val="100"/>
        <c:noMultiLvlLbl val="0"/>
      </c:catAx>
      <c:valAx>
        <c:axId val="91738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9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979062898974788"/>
                  <c:y val="-0.15567913385826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Sheet1!$E$2:$E$8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Sheet1!$H$2:$H$8</c:f>
              <c:numCache>
                <c:formatCode>General</c:formatCode>
                <c:ptCount val="7"/>
                <c:pt idx="0">
                  <c:v>2.2849999999999993</c:v>
                </c:pt>
                <c:pt idx="1">
                  <c:v>0.89749999999999797</c:v>
                </c:pt>
                <c:pt idx="2">
                  <c:v>0.60879999999999768</c:v>
                </c:pt>
                <c:pt idx="3">
                  <c:v>0.52718181818181731</c:v>
                </c:pt>
                <c:pt idx="4">
                  <c:v>0.23473333333333307</c:v>
                </c:pt>
                <c:pt idx="5">
                  <c:v>0.15645454545454507</c:v>
                </c:pt>
                <c:pt idx="6">
                  <c:v>5.0400000000000021E-2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F8-44CC-8479-015512633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358696"/>
        <c:axId val="917366616"/>
      </c:scatterChart>
      <c:valAx>
        <c:axId val="917358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Πλήθος ενεργών σημείων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66616"/>
        <c:crosses val="autoZero"/>
        <c:crossBetween val="midCat"/>
      </c:valAx>
      <c:valAx>
        <c:axId val="91736661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Μέσο </a:t>
                </a:r>
                <a:r>
                  <a:rPr lang="en-US"/>
                  <a:t>TL </a:t>
                </a:r>
                <a:r>
                  <a:rPr lang="el-GR"/>
                  <a:t>ανά πράκτορα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58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136376</xdr:colOff>
      <xdr:row>57</xdr:row>
      <xdr:rowOff>87070</xdr:rowOff>
    </xdr:from>
    <xdr:to>
      <xdr:col>12</xdr:col>
      <xdr:colOff>390302</xdr:colOff>
      <xdr:row>71</xdr:row>
      <xdr:rowOff>2577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B44219-8E34-55BE-ADFF-EE1D94443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395792</xdr:colOff>
      <xdr:row>58</xdr:row>
      <xdr:rowOff>1009</xdr:rowOff>
    </xdr:from>
    <xdr:to>
      <xdr:col>6</xdr:col>
      <xdr:colOff>659242</xdr:colOff>
      <xdr:row>71</xdr:row>
      <xdr:rowOff>127747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1E8C33-1F5D-2BB3-2DEC-D319A632A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627697</xdr:colOff>
      <xdr:row>19</xdr:row>
      <xdr:rowOff>49530</xdr:rowOff>
    </xdr:from>
    <xdr:to>
      <xdr:col>23</xdr:col>
      <xdr:colOff>536257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200810-678D-A38F-2BAA-278F5977A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531495</xdr:colOff>
      <xdr:row>3</xdr:row>
      <xdr:rowOff>140970</xdr:rowOff>
    </xdr:from>
    <xdr:to>
      <xdr:col>25</xdr:col>
      <xdr:colOff>487680</xdr:colOff>
      <xdr:row>17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74C5B9-5D92-4FF8-9E21-EA1105C13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250507</xdr:colOff>
      <xdr:row>1</xdr:row>
      <xdr:rowOff>36195</xdr:rowOff>
    </xdr:from>
    <xdr:to>
      <xdr:col>18</xdr:col>
      <xdr:colOff>160972</xdr:colOff>
      <xdr:row>14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5BD872-0F10-B1EB-7666-DB779E154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505777</xdr:colOff>
      <xdr:row>17</xdr:row>
      <xdr:rowOff>47625</xdr:rowOff>
    </xdr:from>
    <xdr:to>
      <xdr:col>13</xdr:col>
      <xdr:colOff>406717</xdr:colOff>
      <xdr:row>30</xdr:row>
      <xdr:rowOff>192405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4F58B8-5544-3454-7F06-2F23F049C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0D35-F7BC-4AAC-B3CF-9E427C5FC2AA}">
  <dimension ref="A1:P59"/>
  <sheetViews>
    <sheetView tabSelected="1" topLeftCell="A2" zoomScale="85" zoomScaleNormal="85" workbookViewId="0">
      <selection activeCell="I2" sqref="A2:P59"/>
    </sheetView>
  </sheetViews>
  <sheetFormatPr defaultColWidth="11.19921875" defaultRowHeight="15.6" x14ac:dyDescent="0.3"/>
  <cols>
    <col min="1" max="1" width="36.19921875" bestFit="1" customWidth="1"/>
    <col min="11" max="11" width="11.19921875" customWidth="1"/>
    <col min="18" max="19" width="20.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P1">
        <v>1</v>
      </c>
    </row>
    <row r="2" spans="1:16" x14ac:dyDescent="0.3">
      <c r="A2">
        <v>1</v>
      </c>
      <c r="B2">
        <v>1</v>
      </c>
      <c r="C2">
        <v>745926819</v>
      </c>
      <c r="D2">
        <v>10.896413000000001</v>
      </c>
      <c r="E2">
        <v>38.383162199999994</v>
      </c>
      <c r="F2">
        <v>49.279575199999996</v>
      </c>
      <c r="G2">
        <v>1.6961454999999961</v>
      </c>
      <c r="H2">
        <v>11.424999999999997</v>
      </c>
      <c r="I2">
        <v>1</v>
      </c>
      <c r="J2" t="s">
        <v>10</v>
      </c>
      <c r="K2" t="s">
        <v>11</v>
      </c>
      <c r="P2">
        <v>2</v>
      </c>
    </row>
    <row r="3" spans="1:16" x14ac:dyDescent="0.3">
      <c r="A3">
        <v>3</v>
      </c>
      <c r="B3">
        <v>599</v>
      </c>
      <c r="C3">
        <v>564855407</v>
      </c>
      <c r="D3">
        <v>19.675656400000001</v>
      </c>
      <c r="E3">
        <v>150.9665133</v>
      </c>
      <c r="F3">
        <v>170.64216970000001</v>
      </c>
      <c r="G3">
        <v>3.8936400000000065E-2</v>
      </c>
      <c r="H3">
        <v>2.239999999999994</v>
      </c>
      <c r="I3">
        <v>3</v>
      </c>
      <c r="J3" t="s">
        <v>14</v>
      </c>
      <c r="K3" t="s">
        <v>15</v>
      </c>
      <c r="P3">
        <v>11</v>
      </c>
    </row>
    <row r="4" spans="1:16" x14ac:dyDescent="0.3">
      <c r="A4">
        <v>2</v>
      </c>
      <c r="B4">
        <v>300</v>
      </c>
      <c r="C4">
        <v>3034478148</v>
      </c>
      <c r="D4">
        <v>26.846895100000001</v>
      </c>
      <c r="E4">
        <v>169.79715719999999</v>
      </c>
      <c r="F4">
        <v>196.6440523</v>
      </c>
      <c r="G4">
        <v>0.10454109999999968</v>
      </c>
      <c r="H4">
        <v>6.7349999999999852</v>
      </c>
      <c r="I4">
        <v>3</v>
      </c>
      <c r="J4" t="s">
        <v>12</v>
      </c>
      <c r="K4" t="s">
        <v>13</v>
      </c>
      <c r="P4">
        <v>5</v>
      </c>
    </row>
    <row r="5" spans="1:16" x14ac:dyDescent="0.3">
      <c r="A5">
        <v>6</v>
      </c>
      <c r="B5">
        <v>1495</v>
      </c>
      <c r="C5">
        <v>935470333</v>
      </c>
      <c r="D5">
        <v>44.772105500000002</v>
      </c>
      <c r="E5">
        <v>201.3219747</v>
      </c>
      <c r="F5">
        <v>246.09408020000001</v>
      </c>
      <c r="G5">
        <v>4.2052299999999876E-2</v>
      </c>
      <c r="H5">
        <v>0</v>
      </c>
      <c r="I5">
        <v>4</v>
      </c>
      <c r="J5" t="s">
        <v>20</v>
      </c>
      <c r="K5" t="s">
        <v>21</v>
      </c>
      <c r="P5">
        <v>5</v>
      </c>
    </row>
    <row r="6" spans="1:16" x14ac:dyDescent="0.3">
      <c r="A6">
        <v>7</v>
      </c>
      <c r="B6">
        <v>1794</v>
      </c>
      <c r="C6">
        <v>1544656427</v>
      </c>
      <c r="D6">
        <v>31.881101699999999</v>
      </c>
      <c r="E6">
        <v>189.39706539999997</v>
      </c>
      <c r="F6">
        <v>221.27816709999996</v>
      </c>
      <c r="G6">
        <v>3.5656199999999874E-2</v>
      </c>
      <c r="H6">
        <v>0</v>
      </c>
      <c r="I6">
        <v>4</v>
      </c>
      <c r="J6" t="s">
        <v>22</v>
      </c>
      <c r="K6" t="s">
        <v>23</v>
      </c>
    </row>
    <row r="7" spans="1:16" x14ac:dyDescent="0.3">
      <c r="A7">
        <v>5</v>
      </c>
      <c r="B7">
        <v>1196</v>
      </c>
      <c r="C7">
        <v>1287994059</v>
      </c>
      <c r="D7">
        <v>36.514729899999999</v>
      </c>
      <c r="E7">
        <v>212.86556629999998</v>
      </c>
      <c r="F7">
        <v>249.38029619999998</v>
      </c>
      <c r="G7">
        <v>3.9474199999999814E-2</v>
      </c>
      <c r="H7">
        <v>2.3500000000000014</v>
      </c>
      <c r="I7">
        <v>4</v>
      </c>
      <c r="J7" t="s">
        <v>18</v>
      </c>
      <c r="K7" t="s">
        <v>19</v>
      </c>
      <c r="P7">
        <v>11</v>
      </c>
    </row>
    <row r="8" spans="1:16" x14ac:dyDescent="0.3">
      <c r="A8">
        <v>4</v>
      </c>
      <c r="B8">
        <v>897</v>
      </c>
      <c r="C8">
        <v>1394952665</v>
      </c>
      <c r="D8">
        <v>44.457005799999997</v>
      </c>
      <c r="E8">
        <v>235.91078709999999</v>
      </c>
      <c r="F8">
        <v>280.36779289999998</v>
      </c>
      <c r="G8">
        <v>4.4842100000000079E-2</v>
      </c>
      <c r="H8">
        <v>6.3749999999999707</v>
      </c>
      <c r="I8">
        <v>4</v>
      </c>
      <c r="J8" t="s">
        <v>16</v>
      </c>
      <c r="K8" t="s">
        <v>17</v>
      </c>
      <c r="P8">
        <v>15</v>
      </c>
    </row>
    <row r="9" spans="1:16" x14ac:dyDescent="0.3">
      <c r="A9">
        <v>8</v>
      </c>
      <c r="B9">
        <v>2092</v>
      </c>
      <c r="C9">
        <v>585952044</v>
      </c>
      <c r="D9">
        <v>29.072475099999998</v>
      </c>
      <c r="E9">
        <v>187.4976589</v>
      </c>
      <c r="F9">
        <v>216.570134</v>
      </c>
      <c r="G9">
        <v>4.0021599999999845E-2</v>
      </c>
      <c r="H9">
        <v>6.494999999999969</v>
      </c>
      <c r="I9">
        <v>4</v>
      </c>
      <c r="J9" t="s">
        <v>24</v>
      </c>
      <c r="K9" t="s">
        <v>25</v>
      </c>
    </row>
    <row r="10" spans="1:16" x14ac:dyDescent="0.3">
      <c r="A10">
        <v>16</v>
      </c>
      <c r="B10">
        <v>4482</v>
      </c>
      <c r="C10">
        <v>2306530752</v>
      </c>
      <c r="D10">
        <v>45.380124199999997</v>
      </c>
      <c r="E10">
        <v>248.47254409999999</v>
      </c>
      <c r="F10">
        <v>293.8526683</v>
      </c>
      <c r="G10">
        <v>2.982139999999997E-2</v>
      </c>
      <c r="H10">
        <v>0</v>
      </c>
      <c r="I10">
        <v>5</v>
      </c>
      <c r="J10" t="s">
        <v>40</v>
      </c>
      <c r="K10" t="s">
        <v>41</v>
      </c>
    </row>
    <row r="11" spans="1:16" x14ac:dyDescent="0.3">
      <c r="A11">
        <v>12</v>
      </c>
      <c r="B11">
        <v>3287</v>
      </c>
      <c r="C11">
        <v>1489235584</v>
      </c>
      <c r="D11">
        <v>59.726172200000001</v>
      </c>
      <c r="E11">
        <v>218.05507380000003</v>
      </c>
      <c r="F11">
        <v>277.78124600000001</v>
      </c>
      <c r="G11">
        <v>4.0443399999999734E-2</v>
      </c>
      <c r="H11">
        <v>0.82500000000000051</v>
      </c>
      <c r="I11">
        <v>5</v>
      </c>
      <c r="J11" t="s">
        <v>32</v>
      </c>
      <c r="K11" t="s">
        <v>33</v>
      </c>
    </row>
    <row r="12" spans="1:16" x14ac:dyDescent="0.3">
      <c r="A12">
        <v>9</v>
      </c>
      <c r="B12">
        <v>2391</v>
      </c>
      <c r="C12">
        <v>2432033826</v>
      </c>
      <c r="D12">
        <v>35.120420699999997</v>
      </c>
      <c r="E12">
        <v>242.5360417</v>
      </c>
      <c r="F12">
        <v>277.65646240000001</v>
      </c>
      <c r="G12">
        <v>4.5446799999999961E-2</v>
      </c>
      <c r="H12">
        <v>0.94500000000000073</v>
      </c>
      <c r="I12">
        <v>5</v>
      </c>
      <c r="J12" t="s">
        <v>26</v>
      </c>
      <c r="K12" t="s">
        <v>27</v>
      </c>
    </row>
    <row r="13" spans="1:16" x14ac:dyDescent="0.3">
      <c r="A13">
        <v>13</v>
      </c>
      <c r="B13">
        <v>3586</v>
      </c>
      <c r="C13">
        <v>2883903825</v>
      </c>
      <c r="D13">
        <v>51.276434500000001</v>
      </c>
      <c r="E13">
        <v>268.20396260000001</v>
      </c>
      <c r="F13">
        <v>319.4803971</v>
      </c>
      <c r="G13">
        <v>4.3661000000000144E-2</v>
      </c>
      <c r="H13">
        <v>1.4600000000000011</v>
      </c>
      <c r="I13">
        <v>5</v>
      </c>
      <c r="J13" t="s">
        <v>34</v>
      </c>
      <c r="K13" t="s">
        <v>35</v>
      </c>
    </row>
    <row r="14" spans="1:16" x14ac:dyDescent="0.3">
      <c r="A14">
        <v>15</v>
      </c>
      <c r="B14">
        <v>4184</v>
      </c>
      <c r="C14">
        <v>3246422816</v>
      </c>
      <c r="D14">
        <v>38.102591599999997</v>
      </c>
      <c r="E14">
        <v>212.30604410000001</v>
      </c>
      <c r="F14">
        <v>250.40863569999999</v>
      </c>
      <c r="G14">
        <v>4.1250100000000255E-2</v>
      </c>
      <c r="H14">
        <v>1.8950000000000014</v>
      </c>
      <c r="I14">
        <v>5</v>
      </c>
      <c r="J14" t="s">
        <v>38</v>
      </c>
      <c r="K14" t="s">
        <v>39</v>
      </c>
    </row>
    <row r="15" spans="1:16" x14ac:dyDescent="0.3">
      <c r="A15">
        <v>10</v>
      </c>
      <c r="B15">
        <v>2690</v>
      </c>
      <c r="C15">
        <v>2025518982</v>
      </c>
      <c r="D15">
        <v>54.4724772</v>
      </c>
      <c r="E15">
        <v>266.80413430000004</v>
      </c>
      <c r="F15">
        <v>321.27661150000006</v>
      </c>
      <c r="G15">
        <v>4.8599900000000008E-2</v>
      </c>
      <c r="H15">
        <v>3</v>
      </c>
      <c r="I15">
        <v>5</v>
      </c>
      <c r="J15" t="s">
        <v>28</v>
      </c>
      <c r="K15" t="s">
        <v>29</v>
      </c>
    </row>
    <row r="16" spans="1:16" x14ac:dyDescent="0.3">
      <c r="A16">
        <v>14</v>
      </c>
      <c r="B16">
        <v>3885</v>
      </c>
      <c r="C16">
        <v>3719764733</v>
      </c>
      <c r="D16">
        <v>29.4882831</v>
      </c>
      <c r="E16">
        <v>198.96121050000002</v>
      </c>
      <c r="F16">
        <v>228.44949360000001</v>
      </c>
      <c r="G16">
        <v>3.5602099999999748E-2</v>
      </c>
      <c r="H16">
        <v>3</v>
      </c>
      <c r="I16">
        <v>5</v>
      </c>
      <c r="J16" t="s">
        <v>36</v>
      </c>
      <c r="K16" t="s">
        <v>37</v>
      </c>
    </row>
    <row r="17" spans="1:11" x14ac:dyDescent="0.3">
      <c r="A17">
        <v>17</v>
      </c>
      <c r="B17">
        <v>4781</v>
      </c>
      <c r="C17">
        <v>1417937376</v>
      </c>
      <c r="D17">
        <v>42.9043299</v>
      </c>
      <c r="E17">
        <v>232.26345710000001</v>
      </c>
      <c r="F17">
        <v>275.16778700000003</v>
      </c>
      <c r="G17">
        <v>4.7474399999999778E-2</v>
      </c>
      <c r="H17">
        <v>3.6300000000000003</v>
      </c>
      <c r="I17">
        <v>5</v>
      </c>
      <c r="J17" t="s">
        <v>42</v>
      </c>
      <c r="K17" t="s">
        <v>43</v>
      </c>
    </row>
    <row r="18" spans="1:11" x14ac:dyDescent="0.3">
      <c r="A18">
        <v>18</v>
      </c>
      <c r="B18">
        <v>5080</v>
      </c>
      <c r="C18">
        <v>1137707885</v>
      </c>
      <c r="D18">
        <v>49.601689399999998</v>
      </c>
      <c r="E18">
        <v>263.51583569999997</v>
      </c>
      <c r="F18">
        <v>313.11752509999997</v>
      </c>
      <c r="G18">
        <v>4.0582600000000024E-2</v>
      </c>
      <c r="H18">
        <v>3.9450000000000003</v>
      </c>
      <c r="I18">
        <v>5</v>
      </c>
      <c r="J18" t="s">
        <v>44</v>
      </c>
      <c r="K18" t="s">
        <v>45</v>
      </c>
    </row>
    <row r="19" spans="1:11" x14ac:dyDescent="0.3">
      <c r="A19">
        <v>11</v>
      </c>
      <c r="B19">
        <v>2989</v>
      </c>
      <c r="C19">
        <v>2878647086</v>
      </c>
      <c r="D19">
        <v>49.385160300000003</v>
      </c>
      <c r="E19">
        <v>323.65779499999996</v>
      </c>
      <c r="F19">
        <v>373.04295529999996</v>
      </c>
      <c r="G19">
        <v>0.18814560000000038</v>
      </c>
      <c r="H19">
        <v>4.2750000000000012</v>
      </c>
      <c r="I19">
        <v>5</v>
      </c>
      <c r="J19" t="s">
        <v>30</v>
      </c>
      <c r="K19" t="s">
        <v>31</v>
      </c>
    </row>
    <row r="20" spans="1:11" x14ac:dyDescent="0.3">
      <c r="A20">
        <v>19</v>
      </c>
      <c r="B20">
        <v>5379</v>
      </c>
      <c r="C20">
        <v>1734107846</v>
      </c>
      <c r="D20">
        <v>47.924104700000001</v>
      </c>
      <c r="E20">
        <v>249.2431914</v>
      </c>
      <c r="F20">
        <v>297.16729609999999</v>
      </c>
      <c r="G20">
        <v>4.6391900000000111E-2</v>
      </c>
      <c r="H20">
        <v>6.0199999999999516</v>
      </c>
      <c r="I20">
        <v>5</v>
      </c>
      <c r="J20" t="s">
        <v>46</v>
      </c>
      <c r="K20" t="s">
        <v>47</v>
      </c>
    </row>
    <row r="21" spans="1:11" x14ac:dyDescent="0.3">
      <c r="A21">
        <v>22</v>
      </c>
      <c r="B21">
        <v>6275</v>
      </c>
      <c r="C21">
        <v>2937829273</v>
      </c>
      <c r="D21">
        <v>50.5617953</v>
      </c>
      <c r="E21">
        <v>309.72002739999999</v>
      </c>
      <c r="F21">
        <v>360.28182270000002</v>
      </c>
      <c r="G21">
        <v>3.2052200000000225E-2</v>
      </c>
      <c r="H21">
        <v>0</v>
      </c>
      <c r="I21">
        <v>6</v>
      </c>
      <c r="J21" t="s">
        <v>52</v>
      </c>
      <c r="K21" t="s">
        <v>53</v>
      </c>
    </row>
    <row r="22" spans="1:11" x14ac:dyDescent="0.3">
      <c r="A22">
        <v>24</v>
      </c>
      <c r="B22">
        <v>6872</v>
      </c>
      <c r="C22">
        <v>4033531391</v>
      </c>
      <c r="D22">
        <v>53.378993700000002</v>
      </c>
      <c r="E22">
        <v>312.4668724</v>
      </c>
      <c r="F22">
        <v>365.84586610000002</v>
      </c>
      <c r="G22">
        <v>4.5850300000000045E-2</v>
      </c>
      <c r="H22">
        <v>0</v>
      </c>
      <c r="I22">
        <v>6</v>
      </c>
      <c r="J22" t="s">
        <v>56</v>
      </c>
      <c r="K22" t="s">
        <v>57</v>
      </c>
    </row>
    <row r="23" spans="1:11" x14ac:dyDescent="0.3">
      <c r="A23">
        <v>29</v>
      </c>
      <c r="B23">
        <v>8366</v>
      </c>
      <c r="C23">
        <v>3704995723</v>
      </c>
      <c r="D23">
        <v>46.925244900000003</v>
      </c>
      <c r="E23">
        <v>308.34193470000002</v>
      </c>
      <c r="F23">
        <v>355.26717960000002</v>
      </c>
      <c r="G23">
        <v>4.6332199999999713E-2</v>
      </c>
      <c r="H23">
        <v>0</v>
      </c>
      <c r="I23">
        <v>6</v>
      </c>
      <c r="J23" t="s">
        <v>66</v>
      </c>
      <c r="K23" t="s">
        <v>67</v>
      </c>
    </row>
    <row r="24" spans="1:11" x14ac:dyDescent="0.3">
      <c r="A24">
        <v>26</v>
      </c>
      <c r="B24">
        <v>7470</v>
      </c>
      <c r="C24">
        <v>9435626</v>
      </c>
      <c r="D24">
        <v>46.742056400000003</v>
      </c>
      <c r="E24">
        <v>279.55164530000002</v>
      </c>
      <c r="F24">
        <v>326.29370170000004</v>
      </c>
      <c r="G24">
        <v>5.0469300000000106E-2</v>
      </c>
      <c r="H24">
        <v>0.27500000000000013</v>
      </c>
      <c r="I24">
        <v>6</v>
      </c>
      <c r="J24" t="s">
        <v>60</v>
      </c>
      <c r="K24" t="s">
        <v>61</v>
      </c>
    </row>
    <row r="25" spans="1:11" x14ac:dyDescent="0.3">
      <c r="A25">
        <v>27</v>
      </c>
      <c r="B25">
        <v>7769</v>
      </c>
      <c r="C25">
        <v>1283029359</v>
      </c>
      <c r="D25">
        <v>43.403570700000003</v>
      </c>
      <c r="E25">
        <v>275.8494872</v>
      </c>
      <c r="F25">
        <v>319.25305789999999</v>
      </c>
      <c r="G25">
        <v>3.9251299999999899E-2</v>
      </c>
      <c r="H25">
        <v>0.58000000000000029</v>
      </c>
      <c r="I25">
        <v>6</v>
      </c>
      <c r="J25" t="s">
        <v>62</v>
      </c>
      <c r="K25" t="s">
        <v>63</v>
      </c>
    </row>
    <row r="26" spans="1:11" x14ac:dyDescent="0.3">
      <c r="A26">
        <v>30</v>
      </c>
      <c r="B26">
        <v>8665</v>
      </c>
      <c r="C26">
        <v>22762551</v>
      </c>
      <c r="D26">
        <v>58.070708199999999</v>
      </c>
      <c r="E26">
        <v>334.02728500000001</v>
      </c>
      <c r="F26">
        <v>392.09799320000002</v>
      </c>
      <c r="G26">
        <v>4.184000000000019E-2</v>
      </c>
      <c r="H26">
        <v>0.60000000000000042</v>
      </c>
      <c r="I26">
        <v>6</v>
      </c>
      <c r="J26" t="s">
        <v>68</v>
      </c>
      <c r="K26" t="s">
        <v>69</v>
      </c>
    </row>
    <row r="27" spans="1:11" x14ac:dyDescent="0.3">
      <c r="A27">
        <v>21</v>
      </c>
      <c r="B27">
        <v>5976</v>
      </c>
      <c r="C27">
        <v>3478348088</v>
      </c>
      <c r="D27">
        <v>42.964082099999999</v>
      </c>
      <c r="E27">
        <v>285.0926384</v>
      </c>
      <c r="F27">
        <v>328.05672049999998</v>
      </c>
      <c r="G27">
        <v>4.18282000000001E-2</v>
      </c>
      <c r="H27">
        <v>0.73000000000000043</v>
      </c>
      <c r="I27">
        <v>6</v>
      </c>
      <c r="J27" t="s">
        <v>50</v>
      </c>
      <c r="K27" t="s">
        <v>51</v>
      </c>
    </row>
    <row r="28" spans="1:11" x14ac:dyDescent="0.3">
      <c r="A28">
        <v>33</v>
      </c>
      <c r="B28">
        <v>9561</v>
      </c>
      <c r="C28">
        <v>175183455</v>
      </c>
      <c r="D28">
        <v>54.563878000000003</v>
      </c>
      <c r="E28">
        <v>263.8426058</v>
      </c>
      <c r="F28">
        <v>318.40648379999999</v>
      </c>
      <c r="G28">
        <v>4.6572999999999844E-2</v>
      </c>
      <c r="H28">
        <v>0.77000000000000046</v>
      </c>
      <c r="I28">
        <v>6</v>
      </c>
      <c r="J28" t="s">
        <v>74</v>
      </c>
      <c r="K28" t="s">
        <v>75</v>
      </c>
    </row>
    <row r="29" spans="1:11" x14ac:dyDescent="0.3">
      <c r="A29">
        <v>23</v>
      </c>
      <c r="B29">
        <v>6574</v>
      </c>
      <c r="C29">
        <v>2270932946</v>
      </c>
      <c r="D29">
        <v>55.860442300000003</v>
      </c>
      <c r="E29">
        <v>307.28333650000002</v>
      </c>
      <c r="F29">
        <v>363.14377880000001</v>
      </c>
      <c r="G29">
        <v>3.9266899999999813E-2</v>
      </c>
      <c r="H29">
        <v>0.80500000000000049</v>
      </c>
      <c r="I29">
        <v>6</v>
      </c>
      <c r="J29" t="s">
        <v>54</v>
      </c>
      <c r="K29" t="s">
        <v>55</v>
      </c>
    </row>
    <row r="30" spans="1:11" x14ac:dyDescent="0.3">
      <c r="A30">
        <v>20</v>
      </c>
      <c r="B30">
        <v>5677</v>
      </c>
      <c r="C30">
        <v>3429621551</v>
      </c>
      <c r="D30">
        <v>46.824295200000002</v>
      </c>
      <c r="E30">
        <v>288.97732959999996</v>
      </c>
      <c r="F30">
        <v>335.80162479999996</v>
      </c>
      <c r="G30">
        <v>3.9178200000000288E-2</v>
      </c>
      <c r="H30">
        <v>0.95000000000000062</v>
      </c>
      <c r="I30">
        <v>6</v>
      </c>
      <c r="J30" t="s">
        <v>48</v>
      </c>
      <c r="K30" t="s">
        <v>49</v>
      </c>
    </row>
    <row r="31" spans="1:11" x14ac:dyDescent="0.3">
      <c r="A31">
        <v>28</v>
      </c>
      <c r="B31">
        <v>8067</v>
      </c>
      <c r="C31">
        <v>272431614</v>
      </c>
      <c r="D31">
        <v>38.819582799999999</v>
      </c>
      <c r="E31">
        <v>268.668475</v>
      </c>
      <c r="F31">
        <v>307.48805779999998</v>
      </c>
      <c r="G31">
        <v>0.10564820000000007</v>
      </c>
      <c r="H31">
        <v>1.1750000000000007</v>
      </c>
      <c r="I31">
        <v>6</v>
      </c>
      <c r="J31" t="s">
        <v>64</v>
      </c>
      <c r="K31" t="s">
        <v>65</v>
      </c>
    </row>
    <row r="32" spans="1:11" x14ac:dyDescent="0.3">
      <c r="A32">
        <v>25</v>
      </c>
      <c r="B32">
        <v>7171</v>
      </c>
      <c r="C32">
        <v>620474701</v>
      </c>
      <c r="D32">
        <v>37.893149899999997</v>
      </c>
      <c r="E32">
        <v>247.5366884</v>
      </c>
      <c r="F32">
        <v>285.42983830000003</v>
      </c>
      <c r="G32">
        <v>4.5286000000000215E-2</v>
      </c>
      <c r="H32">
        <v>2.0150000000000015</v>
      </c>
      <c r="I32">
        <v>6</v>
      </c>
      <c r="J32" t="s">
        <v>58</v>
      </c>
      <c r="K32" t="s">
        <v>59</v>
      </c>
    </row>
    <row r="33" spans="1:11" x14ac:dyDescent="0.3">
      <c r="A33">
        <v>34</v>
      </c>
      <c r="B33">
        <v>9860</v>
      </c>
      <c r="C33">
        <v>2394633747</v>
      </c>
      <c r="D33">
        <v>38.847563399999999</v>
      </c>
      <c r="E33">
        <v>276.51088980000003</v>
      </c>
      <c r="F33">
        <v>315.35845320000004</v>
      </c>
      <c r="G33">
        <v>3.9745399999999952E-2</v>
      </c>
      <c r="H33">
        <v>2.4149999999999778</v>
      </c>
      <c r="I33">
        <v>6</v>
      </c>
      <c r="J33" t="s">
        <v>76</v>
      </c>
      <c r="K33" t="s">
        <v>77</v>
      </c>
    </row>
    <row r="34" spans="1:11" x14ac:dyDescent="0.3">
      <c r="A34">
        <v>32</v>
      </c>
      <c r="B34">
        <v>9262</v>
      </c>
      <c r="C34">
        <v>1952758979</v>
      </c>
      <c r="D34">
        <v>46.961361199999999</v>
      </c>
      <c r="E34">
        <v>295.61831970000003</v>
      </c>
      <c r="F34">
        <v>342.57968090000003</v>
      </c>
      <c r="G34">
        <v>4.8695600000000082E-2</v>
      </c>
      <c r="H34">
        <v>2.6699999999999955</v>
      </c>
      <c r="I34">
        <v>6</v>
      </c>
      <c r="J34" t="s">
        <v>72</v>
      </c>
      <c r="K34" t="s">
        <v>73</v>
      </c>
    </row>
    <row r="35" spans="1:11" x14ac:dyDescent="0.3">
      <c r="A35">
        <v>31</v>
      </c>
      <c r="B35">
        <v>8964</v>
      </c>
      <c r="C35">
        <v>3039674852</v>
      </c>
      <c r="D35">
        <v>51.753356199999999</v>
      </c>
      <c r="E35">
        <v>280.00899229999999</v>
      </c>
      <c r="F35">
        <v>331.76234849999997</v>
      </c>
      <c r="G35">
        <v>4.5769300000000283E-2</v>
      </c>
      <c r="H35">
        <v>4.620000000000001</v>
      </c>
      <c r="I35">
        <v>6</v>
      </c>
      <c r="J35" t="s">
        <v>70</v>
      </c>
      <c r="K35" t="s">
        <v>71</v>
      </c>
    </row>
    <row r="36" spans="1:11" x14ac:dyDescent="0.3">
      <c r="A36">
        <v>36</v>
      </c>
      <c r="B36">
        <v>10457</v>
      </c>
      <c r="C36">
        <v>2509034862</v>
      </c>
      <c r="D36">
        <v>52.503860799999998</v>
      </c>
      <c r="E36">
        <v>337.42593920000002</v>
      </c>
      <c r="F36">
        <v>389.9298</v>
      </c>
      <c r="G36">
        <v>4.685250000000029E-2</v>
      </c>
      <c r="H36">
        <v>0</v>
      </c>
      <c r="I36">
        <v>7</v>
      </c>
      <c r="J36" t="s">
        <v>80</v>
      </c>
      <c r="K36" t="s">
        <v>81</v>
      </c>
    </row>
    <row r="37" spans="1:11" x14ac:dyDescent="0.3">
      <c r="A37">
        <v>37</v>
      </c>
      <c r="B37">
        <v>10756</v>
      </c>
      <c r="C37">
        <v>727682802</v>
      </c>
      <c r="D37">
        <v>66.770434600000002</v>
      </c>
      <c r="E37">
        <v>343.7798421</v>
      </c>
      <c r="F37">
        <v>410.55027669999998</v>
      </c>
      <c r="G37">
        <v>0.11034739999999962</v>
      </c>
      <c r="H37">
        <v>0</v>
      </c>
      <c r="I37">
        <v>7</v>
      </c>
      <c r="J37" t="s">
        <v>82</v>
      </c>
      <c r="K37" t="s">
        <v>83</v>
      </c>
    </row>
    <row r="38" spans="1:11" x14ac:dyDescent="0.3">
      <c r="A38">
        <v>41</v>
      </c>
      <c r="B38">
        <v>11951</v>
      </c>
      <c r="C38">
        <v>398935661</v>
      </c>
      <c r="D38">
        <v>71.582181899999995</v>
      </c>
      <c r="E38">
        <v>369.35716450000001</v>
      </c>
      <c r="F38">
        <v>440.93934639999998</v>
      </c>
      <c r="G38">
        <v>4.4689100000000183E-2</v>
      </c>
      <c r="H38">
        <v>5.0000000000000001E-3</v>
      </c>
      <c r="I38">
        <v>7</v>
      </c>
      <c r="J38" t="s">
        <v>90</v>
      </c>
      <c r="K38" t="s">
        <v>91</v>
      </c>
    </row>
    <row r="39" spans="1:11" x14ac:dyDescent="0.3">
      <c r="A39">
        <v>38</v>
      </c>
      <c r="B39">
        <v>11055</v>
      </c>
      <c r="C39">
        <v>3979590414</v>
      </c>
      <c r="D39">
        <v>55.787314000000002</v>
      </c>
      <c r="E39">
        <v>360.24689749999993</v>
      </c>
      <c r="F39">
        <v>416.03421149999991</v>
      </c>
      <c r="G39">
        <v>4.4618399999999656E-2</v>
      </c>
      <c r="H39">
        <v>7.0000000000000007E-2</v>
      </c>
      <c r="I39">
        <v>7</v>
      </c>
      <c r="J39" t="s">
        <v>84</v>
      </c>
      <c r="K39" t="s">
        <v>85</v>
      </c>
    </row>
    <row r="40" spans="1:11" x14ac:dyDescent="0.3">
      <c r="A40">
        <v>35</v>
      </c>
      <c r="B40">
        <v>10159</v>
      </c>
      <c r="C40">
        <v>2513995735</v>
      </c>
      <c r="D40">
        <v>48.304342200000001</v>
      </c>
      <c r="E40">
        <v>312.07687250000004</v>
      </c>
      <c r="F40">
        <v>360.38121470000004</v>
      </c>
      <c r="G40">
        <v>4.0545099999999785E-2</v>
      </c>
      <c r="H40">
        <v>0.09</v>
      </c>
      <c r="I40">
        <v>7</v>
      </c>
      <c r="J40" t="s">
        <v>78</v>
      </c>
      <c r="K40" t="s">
        <v>79</v>
      </c>
    </row>
    <row r="41" spans="1:11" x14ac:dyDescent="0.3">
      <c r="A41">
        <v>39</v>
      </c>
      <c r="B41">
        <v>11354</v>
      </c>
      <c r="C41">
        <v>77771423</v>
      </c>
      <c r="D41">
        <v>54.575156900000003</v>
      </c>
      <c r="E41">
        <v>350.84153850000007</v>
      </c>
      <c r="F41">
        <v>405.41669540000009</v>
      </c>
      <c r="G41">
        <v>4.9370100000000174E-2</v>
      </c>
      <c r="H41">
        <v>0.41500000000000026</v>
      </c>
      <c r="I41">
        <v>7</v>
      </c>
      <c r="J41" t="s">
        <v>86</v>
      </c>
      <c r="K41" t="s">
        <v>87</v>
      </c>
    </row>
    <row r="42" spans="1:11" x14ac:dyDescent="0.3">
      <c r="A42">
        <v>43</v>
      </c>
      <c r="B42">
        <v>12549</v>
      </c>
      <c r="C42">
        <v>3263033649</v>
      </c>
      <c r="D42">
        <v>66.102978399999998</v>
      </c>
      <c r="E42">
        <v>347.65256369999997</v>
      </c>
      <c r="F42">
        <v>413.75554209999996</v>
      </c>
      <c r="G42">
        <v>5.3482700000000091E-2</v>
      </c>
      <c r="H42">
        <v>0.87500000000000044</v>
      </c>
      <c r="I42">
        <v>7</v>
      </c>
      <c r="J42" t="s">
        <v>94</v>
      </c>
      <c r="K42" t="s">
        <v>95</v>
      </c>
    </row>
    <row r="43" spans="1:11" x14ac:dyDescent="0.3">
      <c r="A43">
        <v>45</v>
      </c>
      <c r="B43">
        <v>13146</v>
      </c>
      <c r="C43">
        <v>1143909802</v>
      </c>
      <c r="D43">
        <v>52.2751199</v>
      </c>
      <c r="E43">
        <v>317.8267032</v>
      </c>
      <c r="F43">
        <v>370.10182309999999</v>
      </c>
      <c r="G43">
        <v>5.2111200000000205E-2</v>
      </c>
      <c r="H43">
        <v>0.98000000000000065</v>
      </c>
      <c r="I43">
        <v>7</v>
      </c>
      <c r="J43" t="s">
        <v>98</v>
      </c>
      <c r="K43" t="s">
        <v>99</v>
      </c>
    </row>
    <row r="44" spans="1:11" x14ac:dyDescent="0.3">
      <c r="A44">
        <v>44</v>
      </c>
      <c r="B44">
        <v>12847</v>
      </c>
      <c r="C44">
        <v>2188434833</v>
      </c>
      <c r="D44">
        <v>47.420552499999999</v>
      </c>
      <c r="E44">
        <v>346.10231649999997</v>
      </c>
      <c r="F44">
        <v>393.52286899999996</v>
      </c>
      <c r="G44">
        <v>4.4976000000000266E-2</v>
      </c>
      <c r="H44">
        <v>1.0750000000000006</v>
      </c>
      <c r="I44">
        <v>7</v>
      </c>
      <c r="J44" t="s">
        <v>96</v>
      </c>
      <c r="K44" t="s">
        <v>97</v>
      </c>
    </row>
    <row r="45" spans="1:11" x14ac:dyDescent="0.3">
      <c r="A45">
        <v>42</v>
      </c>
      <c r="B45">
        <v>12250</v>
      </c>
      <c r="C45">
        <v>600602398</v>
      </c>
      <c r="D45">
        <v>56.356318100000003</v>
      </c>
      <c r="E45">
        <v>344.3948474</v>
      </c>
      <c r="F45">
        <v>400.75116550000001</v>
      </c>
      <c r="G45">
        <v>4.3261299999999878E-2</v>
      </c>
      <c r="H45">
        <v>2.1349999999999936</v>
      </c>
      <c r="I45">
        <v>7</v>
      </c>
      <c r="J45" t="s">
        <v>92</v>
      </c>
      <c r="K45" t="s">
        <v>93</v>
      </c>
    </row>
    <row r="46" spans="1:11" x14ac:dyDescent="0.3">
      <c r="A46">
        <v>40</v>
      </c>
      <c r="B46">
        <v>11652</v>
      </c>
      <c r="C46">
        <v>343985164</v>
      </c>
      <c r="D46">
        <v>57.744571899999997</v>
      </c>
      <c r="E46">
        <v>358.74393129999999</v>
      </c>
      <c r="F46">
        <v>416.48850319999997</v>
      </c>
      <c r="G46">
        <v>4.9398799999999826E-2</v>
      </c>
      <c r="H46">
        <v>2.959999999999984</v>
      </c>
      <c r="I46">
        <v>7</v>
      </c>
      <c r="J46" t="s">
        <v>88</v>
      </c>
      <c r="K46" t="s">
        <v>89</v>
      </c>
    </row>
    <row r="47" spans="1:11" x14ac:dyDescent="0.3">
      <c r="A47">
        <v>48</v>
      </c>
      <c r="B47">
        <v>14042</v>
      </c>
      <c r="C47">
        <v>1159421625</v>
      </c>
      <c r="D47">
        <v>62.187139700000003</v>
      </c>
      <c r="E47">
        <v>387.53469799999993</v>
      </c>
      <c r="F47">
        <v>449.72183769999992</v>
      </c>
      <c r="G47">
        <v>5.2500699999999859E-2</v>
      </c>
      <c r="H47">
        <v>0</v>
      </c>
      <c r="I47">
        <v>8</v>
      </c>
      <c r="J47" t="s">
        <v>104</v>
      </c>
      <c r="K47" t="s">
        <v>105</v>
      </c>
    </row>
    <row r="48" spans="1:11" x14ac:dyDescent="0.3">
      <c r="A48">
        <v>50</v>
      </c>
      <c r="B48">
        <v>14640</v>
      </c>
      <c r="C48">
        <v>781360843</v>
      </c>
      <c r="D48">
        <v>69.115267500000002</v>
      </c>
      <c r="E48">
        <v>417.32315210000002</v>
      </c>
      <c r="F48">
        <v>486.43841960000003</v>
      </c>
      <c r="G48">
        <v>5.0902200000000689E-2</v>
      </c>
      <c r="H48">
        <v>0</v>
      </c>
      <c r="I48">
        <v>8</v>
      </c>
      <c r="J48" t="s">
        <v>108</v>
      </c>
      <c r="K48" t="s">
        <v>109</v>
      </c>
    </row>
    <row r="49" spans="1:11" x14ac:dyDescent="0.3">
      <c r="A49">
        <v>46</v>
      </c>
      <c r="B49">
        <v>13445</v>
      </c>
      <c r="C49">
        <v>3429150011</v>
      </c>
      <c r="D49">
        <v>59.147561600000003</v>
      </c>
      <c r="E49">
        <v>366.67472789999999</v>
      </c>
      <c r="F49">
        <v>425.82228950000001</v>
      </c>
      <c r="G49">
        <v>4.7529200000000049E-2</v>
      </c>
      <c r="H49">
        <v>0.21000000000000005</v>
      </c>
      <c r="I49">
        <v>8</v>
      </c>
      <c r="J49" t="s">
        <v>100</v>
      </c>
      <c r="K49" t="s">
        <v>101</v>
      </c>
    </row>
    <row r="50" spans="1:11" x14ac:dyDescent="0.3">
      <c r="A50">
        <v>47</v>
      </c>
      <c r="B50">
        <v>13744</v>
      </c>
      <c r="C50">
        <v>4217413196</v>
      </c>
      <c r="D50">
        <v>58.972639399999998</v>
      </c>
      <c r="E50">
        <v>356.05586489999996</v>
      </c>
      <c r="F50">
        <v>415.02850429999995</v>
      </c>
      <c r="G50">
        <v>4.5557800000000023E-2</v>
      </c>
      <c r="H50">
        <v>0.39000000000000024</v>
      </c>
      <c r="I50">
        <v>8</v>
      </c>
      <c r="J50" t="s">
        <v>102</v>
      </c>
      <c r="K50" t="s">
        <v>103</v>
      </c>
    </row>
    <row r="51" spans="1:11" x14ac:dyDescent="0.3">
      <c r="A51">
        <v>49</v>
      </c>
      <c r="B51">
        <v>14341</v>
      </c>
      <c r="C51">
        <v>1409830798</v>
      </c>
      <c r="D51">
        <v>68.949105200000005</v>
      </c>
      <c r="E51">
        <v>446.65976890000002</v>
      </c>
      <c r="F51">
        <v>515.60887409999998</v>
      </c>
      <c r="G51">
        <v>5.913199999999974E-2</v>
      </c>
      <c r="H51">
        <v>0.66000000000000036</v>
      </c>
      <c r="I51">
        <v>8</v>
      </c>
      <c r="J51" t="s">
        <v>106</v>
      </c>
      <c r="K51" t="s">
        <v>107</v>
      </c>
    </row>
    <row r="52" spans="1:11" x14ac:dyDescent="0.3">
      <c r="A52" t="s">
        <v>112</v>
      </c>
      <c r="B52">
        <v>50</v>
      </c>
    </row>
    <row r="53" spans="1:11" x14ac:dyDescent="0.3">
      <c r="A53" t="s">
        <v>113</v>
      </c>
      <c r="B53">
        <v>48.177255904000006</v>
      </c>
    </row>
    <row r="54" spans="1:11" x14ac:dyDescent="0.3">
      <c r="A54" t="s">
        <v>114</v>
      </c>
      <c r="B54">
        <v>284.12705062200001</v>
      </c>
    </row>
    <row r="55" spans="1:11" x14ac:dyDescent="0.3">
      <c r="A55" t="s">
        <v>115</v>
      </c>
      <c r="B55">
        <v>332.304306526</v>
      </c>
    </row>
    <row r="56" spans="1:11" x14ac:dyDescent="0.3">
      <c r="A56" t="s">
        <v>116</v>
      </c>
      <c r="B56">
        <v>8.384298399999994E-2</v>
      </c>
    </row>
    <row r="57" spans="1:11" x14ac:dyDescent="0.3">
      <c r="A57" t="s">
        <v>117</v>
      </c>
      <c r="B57">
        <v>2500</v>
      </c>
    </row>
    <row r="58" spans="1:11" x14ac:dyDescent="0.3">
      <c r="A58" t="s">
        <v>118</v>
      </c>
      <c r="B58">
        <v>0.7</v>
      </c>
    </row>
    <row r="59" spans="1:11" x14ac:dyDescent="0.3">
      <c r="A59" t="s">
        <v>119</v>
      </c>
      <c r="B59">
        <v>14640</v>
      </c>
    </row>
  </sheetData>
  <autoFilter ref="A1:P59" xr:uid="{F6490D35-F7BC-4AAC-B3CF-9E427C5FC2AA}">
    <sortState xmlns:xlrd2="http://schemas.microsoft.com/office/spreadsheetml/2017/richdata2" ref="A2:P59">
      <sortCondition ref="I1:I59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4187-0F56-447D-A270-0041890E7641}">
  <dimension ref="A1:S51"/>
  <sheetViews>
    <sheetView topLeftCell="A22" workbookViewId="0">
      <selection activeCell="M24" sqref="M24"/>
    </sheetView>
  </sheetViews>
  <sheetFormatPr defaultRowHeight="15.6" x14ac:dyDescent="0.3"/>
  <cols>
    <col min="1" max="1" width="21.796875" bestFit="1" customWidth="1"/>
    <col min="2" max="2" width="11.19921875" customWidth="1"/>
    <col min="11" max="11" width="7.69921875" bestFit="1" customWidth="1"/>
    <col min="12" max="12" width="10.3984375" bestFit="1" customWidth="1"/>
    <col min="13" max="13" width="3.3984375" bestFit="1" customWidth="1"/>
    <col min="14" max="15" width="4.19921875" bestFit="1" customWidth="1"/>
    <col min="16" max="16" width="10.5" bestFit="1" customWidth="1"/>
    <col min="17" max="17" width="9.5" bestFit="1" customWidth="1"/>
  </cols>
  <sheetData>
    <row r="1" spans="1:19" x14ac:dyDescent="0.3">
      <c r="A1" t="s">
        <v>8</v>
      </c>
      <c r="B1" t="s">
        <v>9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</row>
    <row r="2" spans="1:19" x14ac:dyDescent="0.3">
      <c r="A2" t="s">
        <v>10</v>
      </c>
      <c r="B2" t="s">
        <v>11</v>
      </c>
      <c r="K2">
        <v>1</v>
      </c>
      <c r="L2">
        <f>COUNTIF(A2:A51,K2)</f>
        <v>1</v>
      </c>
      <c r="M2">
        <f>COUNTIF(A2:A51,K2&amp;CHAR(59)&amp;"*")</f>
        <v>18</v>
      </c>
      <c r="N2">
        <f t="shared" ref="N2:N5" si="0">COUNTIF($A$2:$A$51,"*"&amp;CHAR(59)&amp;K2&amp;CHAR(59)&amp;"*")</f>
        <v>0</v>
      </c>
      <c r="O2">
        <f>COUNTIF($A$2:$A$51,"*"&amp;CHAR(59)&amp;K2)</f>
        <v>0</v>
      </c>
      <c r="P2">
        <f>SUM(L2:O2)</f>
        <v>19</v>
      </c>
      <c r="Q2" s="1">
        <f>P2/50</f>
        <v>0.38</v>
      </c>
      <c r="R2">
        <f>AVERAGE($P$2:$P$17)</f>
        <v>18.0625</v>
      </c>
      <c r="S2" s="2">
        <f>R2/50</f>
        <v>0.36125000000000002</v>
      </c>
    </row>
    <row r="3" spans="1:19" x14ac:dyDescent="0.3">
      <c r="A3" t="s">
        <v>12</v>
      </c>
      <c r="B3" t="s">
        <v>13</v>
      </c>
      <c r="K3">
        <v>2</v>
      </c>
      <c r="L3">
        <f>COUNTIF($A$2:$A$51,K3)</f>
        <v>0</v>
      </c>
      <c r="M3">
        <f>COUNTIF($A$2:$A$51,K3&amp;CHAR(59)&amp;"*")</f>
        <v>11</v>
      </c>
      <c r="N3">
        <f t="shared" si="0"/>
        <v>6</v>
      </c>
      <c r="O3">
        <f t="shared" ref="O3:O17" si="1">COUNTIF($A$2:$A$51,"*"&amp;CHAR(59)&amp;K3)</f>
        <v>0</v>
      </c>
      <c r="P3">
        <f t="shared" ref="P3:P17" si="2">SUM(L3:O3)</f>
        <v>17</v>
      </c>
      <c r="Q3" s="1">
        <f t="shared" ref="Q3:Q17" si="3">P3/50</f>
        <v>0.34</v>
      </c>
      <c r="R3">
        <f t="shared" ref="R3:R17" si="4">AVERAGE($P$2:$P$17)</f>
        <v>18.0625</v>
      </c>
      <c r="S3" s="2">
        <f t="shared" ref="S3:S17" si="5">R3/50</f>
        <v>0.36125000000000002</v>
      </c>
    </row>
    <row r="4" spans="1:19" x14ac:dyDescent="0.3">
      <c r="A4" t="s">
        <v>14</v>
      </c>
      <c r="B4" t="s">
        <v>15</v>
      </c>
      <c r="K4">
        <v>3</v>
      </c>
      <c r="L4">
        <f t="shared" ref="L4:L17" si="6">COUNTIF($A$2:$A$51,K4)</f>
        <v>0</v>
      </c>
      <c r="M4">
        <f t="shared" ref="M4:M17" si="7">COUNTIF($A$2:$A$51,K4&amp;CHAR(59)&amp;"*")</f>
        <v>9</v>
      </c>
      <c r="N4">
        <f t="shared" si="0"/>
        <v>9</v>
      </c>
      <c r="O4">
        <f t="shared" si="1"/>
        <v>0</v>
      </c>
      <c r="P4">
        <f t="shared" si="2"/>
        <v>18</v>
      </c>
      <c r="Q4" s="1">
        <f t="shared" si="3"/>
        <v>0.36</v>
      </c>
      <c r="R4">
        <f t="shared" si="4"/>
        <v>18.0625</v>
      </c>
      <c r="S4" s="2">
        <f t="shared" si="5"/>
        <v>0.36125000000000002</v>
      </c>
    </row>
    <row r="5" spans="1:19" x14ac:dyDescent="0.3">
      <c r="A5" t="s">
        <v>16</v>
      </c>
      <c r="B5" t="s">
        <v>17</v>
      </c>
      <c r="K5">
        <v>4</v>
      </c>
      <c r="L5">
        <f t="shared" si="6"/>
        <v>0</v>
      </c>
      <c r="M5">
        <f t="shared" si="7"/>
        <v>5</v>
      </c>
      <c r="N5">
        <f t="shared" si="0"/>
        <v>11</v>
      </c>
      <c r="O5">
        <f t="shared" si="1"/>
        <v>0</v>
      </c>
      <c r="P5">
        <f t="shared" si="2"/>
        <v>16</v>
      </c>
      <c r="Q5" s="1">
        <f t="shared" si="3"/>
        <v>0.32</v>
      </c>
      <c r="R5">
        <f t="shared" si="4"/>
        <v>18.0625</v>
      </c>
      <c r="S5" s="2">
        <f t="shared" si="5"/>
        <v>0.36125000000000002</v>
      </c>
    </row>
    <row r="6" spans="1:19" x14ac:dyDescent="0.3">
      <c r="A6" t="s">
        <v>18</v>
      </c>
      <c r="B6" t="s">
        <v>19</v>
      </c>
      <c r="K6">
        <v>5</v>
      </c>
      <c r="L6">
        <f t="shared" si="6"/>
        <v>0</v>
      </c>
      <c r="M6">
        <f t="shared" si="7"/>
        <v>2</v>
      </c>
      <c r="N6">
        <f>COUNTIF($A$2:$A$51,"*"&amp;CHAR(59)&amp;K6&amp;CHAR(59)&amp;"*")</f>
        <v>15</v>
      </c>
      <c r="O6">
        <f t="shared" si="1"/>
        <v>0</v>
      </c>
      <c r="P6">
        <f t="shared" si="2"/>
        <v>17</v>
      </c>
      <c r="Q6" s="1">
        <f t="shared" si="3"/>
        <v>0.34</v>
      </c>
      <c r="R6">
        <f t="shared" si="4"/>
        <v>18.0625</v>
      </c>
      <c r="S6" s="2">
        <f t="shared" si="5"/>
        <v>0.36125000000000002</v>
      </c>
    </row>
    <row r="7" spans="1:19" x14ac:dyDescent="0.3">
      <c r="A7" t="s">
        <v>20</v>
      </c>
      <c r="B7" t="s">
        <v>21</v>
      </c>
      <c r="K7">
        <v>6</v>
      </c>
      <c r="L7">
        <f t="shared" si="6"/>
        <v>0</v>
      </c>
      <c r="M7">
        <f t="shared" si="7"/>
        <v>2</v>
      </c>
      <c r="N7">
        <f t="shared" ref="N7:N17" si="8">COUNTIF($A$2:$A$51,"*"&amp;CHAR(59)&amp;K7&amp;CHAR(59)&amp;"*")</f>
        <v>13</v>
      </c>
      <c r="O7">
        <f t="shared" si="1"/>
        <v>0</v>
      </c>
      <c r="P7">
        <f t="shared" si="2"/>
        <v>15</v>
      </c>
      <c r="Q7" s="1">
        <f t="shared" si="3"/>
        <v>0.3</v>
      </c>
      <c r="R7">
        <f t="shared" si="4"/>
        <v>18.0625</v>
      </c>
      <c r="S7" s="2">
        <f t="shared" si="5"/>
        <v>0.36125000000000002</v>
      </c>
    </row>
    <row r="8" spans="1:19" x14ac:dyDescent="0.3">
      <c r="A8" t="s">
        <v>22</v>
      </c>
      <c r="B8" t="s">
        <v>23</v>
      </c>
      <c r="K8">
        <v>7</v>
      </c>
      <c r="L8">
        <f t="shared" si="6"/>
        <v>0</v>
      </c>
      <c r="M8">
        <f t="shared" si="7"/>
        <v>2</v>
      </c>
      <c r="N8">
        <f t="shared" si="8"/>
        <v>16</v>
      </c>
      <c r="O8">
        <f t="shared" si="1"/>
        <v>0</v>
      </c>
      <c r="P8">
        <f t="shared" si="2"/>
        <v>18</v>
      </c>
      <c r="Q8" s="1">
        <f t="shared" si="3"/>
        <v>0.36</v>
      </c>
      <c r="R8">
        <f t="shared" si="4"/>
        <v>18.0625</v>
      </c>
      <c r="S8" s="2">
        <f t="shared" si="5"/>
        <v>0.36125000000000002</v>
      </c>
    </row>
    <row r="9" spans="1:19" x14ac:dyDescent="0.3">
      <c r="A9" t="s">
        <v>24</v>
      </c>
      <c r="B9" t="s">
        <v>25</v>
      </c>
      <c r="K9">
        <v>8</v>
      </c>
      <c r="L9">
        <f t="shared" si="6"/>
        <v>0</v>
      </c>
      <c r="M9">
        <f t="shared" si="7"/>
        <v>0</v>
      </c>
      <c r="N9">
        <f t="shared" si="8"/>
        <v>22</v>
      </c>
      <c r="O9">
        <f t="shared" si="1"/>
        <v>0</v>
      </c>
      <c r="P9">
        <f t="shared" si="2"/>
        <v>22</v>
      </c>
      <c r="Q9" s="1">
        <f t="shared" si="3"/>
        <v>0.44</v>
      </c>
      <c r="R9">
        <f t="shared" si="4"/>
        <v>18.0625</v>
      </c>
      <c r="S9" s="2">
        <f t="shared" si="5"/>
        <v>0.36125000000000002</v>
      </c>
    </row>
    <row r="10" spans="1:19" x14ac:dyDescent="0.3">
      <c r="A10" t="s">
        <v>26</v>
      </c>
      <c r="B10" t="s">
        <v>27</v>
      </c>
      <c r="K10">
        <v>9</v>
      </c>
      <c r="L10">
        <f t="shared" si="6"/>
        <v>0</v>
      </c>
      <c r="M10">
        <f t="shared" si="7"/>
        <v>0</v>
      </c>
      <c r="N10">
        <f t="shared" si="8"/>
        <v>19</v>
      </c>
      <c r="O10">
        <f t="shared" si="1"/>
        <v>0</v>
      </c>
      <c r="P10">
        <f t="shared" si="2"/>
        <v>19</v>
      </c>
      <c r="Q10" s="1">
        <f t="shared" si="3"/>
        <v>0.38</v>
      </c>
      <c r="R10">
        <f t="shared" si="4"/>
        <v>18.0625</v>
      </c>
      <c r="S10" s="2">
        <f t="shared" si="5"/>
        <v>0.36125000000000002</v>
      </c>
    </row>
    <row r="11" spans="1:19" x14ac:dyDescent="0.3">
      <c r="A11" t="s">
        <v>28</v>
      </c>
      <c r="B11" t="s">
        <v>29</v>
      </c>
      <c r="K11">
        <v>10</v>
      </c>
      <c r="L11">
        <f t="shared" si="6"/>
        <v>0</v>
      </c>
      <c r="M11">
        <f t="shared" si="7"/>
        <v>0</v>
      </c>
      <c r="N11">
        <f t="shared" si="8"/>
        <v>20</v>
      </c>
      <c r="O11">
        <f t="shared" si="1"/>
        <v>0</v>
      </c>
      <c r="P11">
        <f t="shared" si="2"/>
        <v>20</v>
      </c>
      <c r="Q11" s="1">
        <f t="shared" si="3"/>
        <v>0.4</v>
      </c>
      <c r="R11">
        <f t="shared" si="4"/>
        <v>18.0625</v>
      </c>
      <c r="S11" s="2">
        <f t="shared" si="5"/>
        <v>0.36125000000000002</v>
      </c>
    </row>
    <row r="12" spans="1:19" x14ac:dyDescent="0.3">
      <c r="A12" t="s">
        <v>30</v>
      </c>
      <c r="B12" t="s">
        <v>31</v>
      </c>
      <c r="K12">
        <v>11</v>
      </c>
      <c r="L12">
        <f t="shared" si="6"/>
        <v>0</v>
      </c>
      <c r="M12">
        <f t="shared" si="7"/>
        <v>0</v>
      </c>
      <c r="N12">
        <f t="shared" si="8"/>
        <v>19</v>
      </c>
      <c r="O12">
        <f t="shared" si="1"/>
        <v>3</v>
      </c>
      <c r="P12">
        <f t="shared" si="2"/>
        <v>22</v>
      </c>
      <c r="Q12" s="1">
        <f t="shared" si="3"/>
        <v>0.44</v>
      </c>
      <c r="R12">
        <f t="shared" si="4"/>
        <v>18.0625</v>
      </c>
      <c r="S12" s="2">
        <f t="shared" si="5"/>
        <v>0.36125000000000002</v>
      </c>
    </row>
    <row r="13" spans="1:19" x14ac:dyDescent="0.3">
      <c r="A13" t="s">
        <v>32</v>
      </c>
      <c r="B13" t="s">
        <v>33</v>
      </c>
      <c r="K13">
        <v>12</v>
      </c>
      <c r="L13">
        <f t="shared" si="6"/>
        <v>0</v>
      </c>
      <c r="M13">
        <f t="shared" si="7"/>
        <v>0</v>
      </c>
      <c r="N13">
        <f t="shared" si="8"/>
        <v>15</v>
      </c>
      <c r="O13">
        <f t="shared" si="1"/>
        <v>1</v>
      </c>
      <c r="P13">
        <f t="shared" si="2"/>
        <v>16</v>
      </c>
      <c r="Q13" s="1">
        <f t="shared" si="3"/>
        <v>0.32</v>
      </c>
      <c r="R13">
        <f t="shared" si="4"/>
        <v>18.0625</v>
      </c>
      <c r="S13" s="2">
        <f t="shared" si="5"/>
        <v>0.36125000000000002</v>
      </c>
    </row>
    <row r="14" spans="1:19" x14ac:dyDescent="0.3">
      <c r="A14" t="s">
        <v>34</v>
      </c>
      <c r="B14" t="s">
        <v>35</v>
      </c>
      <c r="K14">
        <v>13</v>
      </c>
      <c r="L14">
        <f t="shared" si="6"/>
        <v>0</v>
      </c>
      <c r="M14">
        <f t="shared" si="7"/>
        <v>0</v>
      </c>
      <c r="N14">
        <f t="shared" si="8"/>
        <v>10</v>
      </c>
      <c r="O14">
        <f t="shared" si="1"/>
        <v>5</v>
      </c>
      <c r="P14">
        <f t="shared" si="2"/>
        <v>15</v>
      </c>
      <c r="Q14" s="1">
        <f t="shared" si="3"/>
        <v>0.3</v>
      </c>
      <c r="R14">
        <f t="shared" si="4"/>
        <v>18.0625</v>
      </c>
      <c r="S14" s="2">
        <f t="shared" si="5"/>
        <v>0.36125000000000002</v>
      </c>
    </row>
    <row r="15" spans="1:19" x14ac:dyDescent="0.3">
      <c r="A15" t="s">
        <v>36</v>
      </c>
      <c r="B15" t="s">
        <v>37</v>
      </c>
      <c r="K15">
        <v>14</v>
      </c>
      <c r="L15">
        <f t="shared" si="6"/>
        <v>0</v>
      </c>
      <c r="M15">
        <f t="shared" si="7"/>
        <v>0</v>
      </c>
      <c r="N15">
        <f t="shared" si="8"/>
        <v>9</v>
      </c>
      <c r="O15">
        <f t="shared" si="1"/>
        <v>7</v>
      </c>
      <c r="P15">
        <f t="shared" si="2"/>
        <v>16</v>
      </c>
      <c r="Q15" s="1">
        <f t="shared" si="3"/>
        <v>0.32</v>
      </c>
      <c r="R15">
        <f t="shared" si="4"/>
        <v>18.0625</v>
      </c>
      <c r="S15" s="2">
        <f t="shared" si="5"/>
        <v>0.36125000000000002</v>
      </c>
    </row>
    <row r="16" spans="1:19" x14ac:dyDescent="0.3">
      <c r="A16" t="s">
        <v>38</v>
      </c>
      <c r="B16" t="s">
        <v>39</v>
      </c>
      <c r="K16">
        <v>15</v>
      </c>
      <c r="L16">
        <f t="shared" si="6"/>
        <v>0</v>
      </c>
      <c r="M16">
        <f t="shared" si="7"/>
        <v>0</v>
      </c>
      <c r="N16">
        <f t="shared" si="8"/>
        <v>6</v>
      </c>
      <c r="O16">
        <f t="shared" si="1"/>
        <v>19</v>
      </c>
      <c r="P16">
        <f t="shared" si="2"/>
        <v>25</v>
      </c>
      <c r="Q16" s="1">
        <f t="shared" si="3"/>
        <v>0.5</v>
      </c>
      <c r="R16">
        <f t="shared" si="4"/>
        <v>18.0625</v>
      </c>
      <c r="S16" s="2">
        <f t="shared" si="5"/>
        <v>0.36125000000000002</v>
      </c>
    </row>
    <row r="17" spans="1:19" x14ac:dyDescent="0.3">
      <c r="A17" t="s">
        <v>40</v>
      </c>
      <c r="B17" t="s">
        <v>41</v>
      </c>
      <c r="K17">
        <v>16</v>
      </c>
      <c r="L17">
        <f t="shared" si="6"/>
        <v>0</v>
      </c>
      <c r="M17">
        <f t="shared" si="7"/>
        <v>0</v>
      </c>
      <c r="N17">
        <f t="shared" si="8"/>
        <v>0</v>
      </c>
      <c r="O17">
        <f t="shared" si="1"/>
        <v>14</v>
      </c>
      <c r="P17">
        <f t="shared" si="2"/>
        <v>14</v>
      </c>
      <c r="Q17" s="1">
        <f t="shared" si="3"/>
        <v>0.28000000000000003</v>
      </c>
      <c r="R17">
        <f t="shared" si="4"/>
        <v>18.0625</v>
      </c>
      <c r="S17" s="2">
        <f t="shared" si="5"/>
        <v>0.36125000000000002</v>
      </c>
    </row>
    <row r="18" spans="1:19" x14ac:dyDescent="0.3">
      <c r="A18" t="s">
        <v>42</v>
      </c>
      <c r="B18" t="s">
        <v>43</v>
      </c>
    </row>
    <row r="19" spans="1:19" x14ac:dyDescent="0.3">
      <c r="A19" t="s">
        <v>44</v>
      </c>
      <c r="B19" t="s">
        <v>45</v>
      </c>
      <c r="Q19" s="1"/>
    </row>
    <row r="20" spans="1:19" x14ac:dyDescent="0.3">
      <c r="A20" t="s">
        <v>46</v>
      </c>
      <c r="B20" t="s">
        <v>47</v>
      </c>
    </row>
    <row r="21" spans="1:19" x14ac:dyDescent="0.3">
      <c r="A21" t="s">
        <v>48</v>
      </c>
      <c r="B21" t="s">
        <v>49</v>
      </c>
    </row>
    <row r="22" spans="1:19" x14ac:dyDescent="0.3">
      <c r="A22" t="s">
        <v>50</v>
      </c>
      <c r="B22" t="s">
        <v>51</v>
      </c>
    </row>
    <row r="23" spans="1:19" x14ac:dyDescent="0.3">
      <c r="A23" t="s">
        <v>52</v>
      </c>
      <c r="B23" t="s">
        <v>53</v>
      </c>
    </row>
    <row r="24" spans="1:19" x14ac:dyDescent="0.3">
      <c r="A24" t="s">
        <v>54</v>
      </c>
      <c r="B24" t="s">
        <v>55</v>
      </c>
    </row>
    <row r="25" spans="1:19" x14ac:dyDescent="0.3">
      <c r="A25" t="s">
        <v>56</v>
      </c>
      <c r="B25" t="s">
        <v>57</v>
      </c>
    </row>
    <row r="26" spans="1:19" x14ac:dyDescent="0.3">
      <c r="A26" t="s">
        <v>58</v>
      </c>
      <c r="B26" t="s">
        <v>59</v>
      </c>
    </row>
    <row r="27" spans="1:19" x14ac:dyDescent="0.3">
      <c r="A27" t="s">
        <v>60</v>
      </c>
      <c r="B27" t="s">
        <v>61</v>
      </c>
    </row>
    <row r="28" spans="1:19" x14ac:dyDescent="0.3">
      <c r="A28" t="s">
        <v>62</v>
      </c>
      <c r="B28" t="s">
        <v>63</v>
      </c>
    </row>
    <row r="29" spans="1:19" x14ac:dyDescent="0.3">
      <c r="A29" t="s">
        <v>64</v>
      </c>
      <c r="B29" t="s">
        <v>65</v>
      </c>
    </row>
    <row r="30" spans="1:19" x14ac:dyDescent="0.3">
      <c r="A30" t="s">
        <v>66</v>
      </c>
      <c r="B30" t="s">
        <v>67</v>
      </c>
    </row>
    <row r="31" spans="1:19" x14ac:dyDescent="0.3">
      <c r="A31" t="s">
        <v>68</v>
      </c>
      <c r="B31" t="s">
        <v>69</v>
      </c>
    </row>
    <row r="32" spans="1:19" x14ac:dyDescent="0.3">
      <c r="A32" t="s">
        <v>70</v>
      </c>
      <c r="B32" t="s">
        <v>71</v>
      </c>
    </row>
    <row r="33" spans="1:2" x14ac:dyDescent="0.3">
      <c r="A33" t="s">
        <v>72</v>
      </c>
      <c r="B33" t="s">
        <v>73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80</v>
      </c>
      <c r="B37" t="s">
        <v>81</v>
      </c>
    </row>
    <row r="38" spans="1:2" x14ac:dyDescent="0.3">
      <c r="A38" t="s">
        <v>82</v>
      </c>
      <c r="B38" t="s">
        <v>83</v>
      </c>
    </row>
    <row r="39" spans="1:2" x14ac:dyDescent="0.3">
      <c r="A39" t="s">
        <v>84</v>
      </c>
      <c r="B39" t="s">
        <v>85</v>
      </c>
    </row>
    <row r="40" spans="1:2" x14ac:dyDescent="0.3">
      <c r="A40" t="s">
        <v>86</v>
      </c>
      <c r="B40" t="s">
        <v>87</v>
      </c>
    </row>
    <row r="41" spans="1:2" x14ac:dyDescent="0.3">
      <c r="A41" t="s">
        <v>88</v>
      </c>
      <c r="B41" t="s">
        <v>89</v>
      </c>
    </row>
    <row r="42" spans="1:2" x14ac:dyDescent="0.3">
      <c r="A42" t="s">
        <v>90</v>
      </c>
      <c r="B42" t="s">
        <v>91</v>
      </c>
    </row>
    <row r="43" spans="1:2" x14ac:dyDescent="0.3">
      <c r="A43" t="s">
        <v>92</v>
      </c>
      <c r="B43" t="s">
        <v>93</v>
      </c>
    </row>
    <row r="44" spans="1:2" x14ac:dyDescent="0.3">
      <c r="A44" t="s">
        <v>94</v>
      </c>
      <c r="B44" t="s">
        <v>95</v>
      </c>
    </row>
    <row r="45" spans="1:2" x14ac:dyDescent="0.3">
      <c r="A45" t="s">
        <v>96</v>
      </c>
      <c r="B45" t="s">
        <v>97</v>
      </c>
    </row>
    <row r="46" spans="1:2" x14ac:dyDescent="0.3">
      <c r="A46" t="s">
        <v>98</v>
      </c>
      <c r="B46" t="s">
        <v>99</v>
      </c>
    </row>
    <row r="47" spans="1:2" x14ac:dyDescent="0.3">
      <c r="A47" t="s">
        <v>100</v>
      </c>
      <c r="B47" t="s">
        <v>101</v>
      </c>
    </row>
    <row r="48" spans="1:2" x14ac:dyDescent="0.3">
      <c r="A48" t="s">
        <v>102</v>
      </c>
      <c r="B48" t="s">
        <v>103</v>
      </c>
    </row>
    <row r="49" spans="1:2" x14ac:dyDescent="0.3">
      <c r="A49" t="s">
        <v>104</v>
      </c>
      <c r="B49" t="s">
        <v>105</v>
      </c>
    </row>
    <row r="50" spans="1:2" x14ac:dyDescent="0.3">
      <c r="A50" t="s">
        <v>106</v>
      </c>
      <c r="B50" t="s">
        <v>107</v>
      </c>
    </row>
    <row r="51" spans="1:2" x14ac:dyDescent="0.3">
      <c r="A51" t="s">
        <v>108</v>
      </c>
      <c r="B51" t="s">
        <v>109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9D74-E8A3-4350-A9F3-55B12A1CC1DD}">
  <dimension ref="A1:H51"/>
  <sheetViews>
    <sheetView workbookViewId="0">
      <selection activeCell="H14" sqref="H14"/>
    </sheetView>
  </sheetViews>
  <sheetFormatPr defaultRowHeight="15.6" x14ac:dyDescent="0.3"/>
  <cols>
    <col min="1" max="2" width="11.19921875"/>
  </cols>
  <sheetData>
    <row r="1" spans="1:8" x14ac:dyDescent="0.3">
      <c r="A1" t="s">
        <v>6</v>
      </c>
      <c r="B1" t="s">
        <v>7</v>
      </c>
    </row>
    <row r="2" spans="1:8" x14ac:dyDescent="0.3">
      <c r="A2">
        <v>11.424999999999997</v>
      </c>
      <c r="B2">
        <v>1</v>
      </c>
      <c r="D2">
        <v>11.424999999999997</v>
      </c>
      <c r="E2">
        <v>1</v>
      </c>
      <c r="G2">
        <v>1</v>
      </c>
      <c r="H2">
        <f>Sheet1!$D$2/5</f>
        <v>2.2849999999999993</v>
      </c>
    </row>
    <row r="3" spans="1:8" x14ac:dyDescent="0.3">
      <c r="A3">
        <v>6.7349999999999852</v>
      </c>
      <c r="B3">
        <v>3</v>
      </c>
      <c r="D3">
        <v>4.4874999999999901</v>
      </c>
      <c r="E3">
        <v>3</v>
      </c>
      <c r="G3">
        <v>2</v>
      </c>
      <c r="H3">
        <f>D3/5</f>
        <v>0.89749999999999797</v>
      </c>
    </row>
    <row r="4" spans="1:8" x14ac:dyDescent="0.3">
      <c r="A4">
        <v>2.239999999999994</v>
      </c>
      <c r="B4">
        <v>3</v>
      </c>
      <c r="D4">
        <v>3.0439999999999885</v>
      </c>
      <c r="E4">
        <v>4</v>
      </c>
      <c r="G4">
        <v>5</v>
      </c>
      <c r="H4">
        <f t="shared" ref="H4:H8" si="0">D4/5</f>
        <v>0.60879999999999768</v>
      </c>
    </row>
    <row r="5" spans="1:8" x14ac:dyDescent="0.3">
      <c r="A5">
        <v>6.3749999999999707</v>
      </c>
      <c r="B5">
        <v>4</v>
      </c>
      <c r="D5">
        <v>2.6359090909090868</v>
      </c>
      <c r="E5">
        <v>5</v>
      </c>
      <c r="G5">
        <v>11</v>
      </c>
      <c r="H5">
        <f t="shared" si="0"/>
        <v>0.52718181818181731</v>
      </c>
    </row>
    <row r="6" spans="1:8" x14ac:dyDescent="0.3">
      <c r="A6">
        <v>2.3500000000000014</v>
      </c>
      <c r="B6">
        <v>4</v>
      </c>
      <c r="D6">
        <v>1.1736666666666653</v>
      </c>
      <c r="E6">
        <v>6</v>
      </c>
      <c r="G6">
        <v>15</v>
      </c>
      <c r="H6">
        <f t="shared" si="0"/>
        <v>0.23473333333333307</v>
      </c>
    </row>
    <row r="7" spans="1:8" x14ac:dyDescent="0.3">
      <c r="A7">
        <v>0</v>
      </c>
      <c r="B7">
        <v>4</v>
      </c>
      <c r="D7">
        <v>0.78227272727272534</v>
      </c>
      <c r="E7">
        <v>7</v>
      </c>
      <c r="G7">
        <v>11</v>
      </c>
      <c r="H7">
        <f t="shared" si="0"/>
        <v>0.15645454545454507</v>
      </c>
    </row>
    <row r="8" spans="1:8" x14ac:dyDescent="0.3">
      <c r="A8">
        <v>0</v>
      </c>
      <c r="B8">
        <v>4</v>
      </c>
      <c r="D8">
        <v>0.25200000000000011</v>
      </c>
      <c r="E8">
        <v>8</v>
      </c>
      <c r="G8">
        <v>5</v>
      </c>
      <c r="H8">
        <f t="shared" si="0"/>
        <v>5.0400000000000021E-2</v>
      </c>
    </row>
    <row r="9" spans="1:8" x14ac:dyDescent="0.3">
      <c r="A9">
        <v>6.494999999999969</v>
      </c>
      <c r="B9">
        <v>4</v>
      </c>
    </row>
    <row r="10" spans="1:8" x14ac:dyDescent="0.3">
      <c r="A10">
        <v>0.94500000000000073</v>
      </c>
      <c r="B10">
        <v>5</v>
      </c>
    </row>
    <row r="11" spans="1:8" x14ac:dyDescent="0.3">
      <c r="A11">
        <v>3</v>
      </c>
      <c r="B11">
        <v>5</v>
      </c>
    </row>
    <row r="12" spans="1:8" x14ac:dyDescent="0.3">
      <c r="A12">
        <v>4.2750000000000012</v>
      </c>
      <c r="B12">
        <v>5</v>
      </c>
      <c r="D12">
        <v>0.21000000000000005</v>
      </c>
    </row>
    <row r="13" spans="1:8" x14ac:dyDescent="0.3">
      <c r="A13">
        <v>0.82500000000000051</v>
      </c>
      <c r="B13">
        <v>5</v>
      </c>
      <c r="D13">
        <v>0.39000000000000024</v>
      </c>
      <c r="E13">
        <v>8</v>
      </c>
    </row>
    <row r="14" spans="1:8" x14ac:dyDescent="0.3">
      <c r="A14">
        <v>1.4600000000000011</v>
      </c>
      <c r="B14">
        <v>5</v>
      </c>
      <c r="D14">
        <v>0</v>
      </c>
      <c r="E14">
        <v>8</v>
      </c>
    </row>
    <row r="15" spans="1:8" x14ac:dyDescent="0.3">
      <c r="A15">
        <v>3</v>
      </c>
      <c r="B15">
        <v>5</v>
      </c>
      <c r="D15">
        <v>0.66000000000000036</v>
      </c>
      <c r="E15">
        <v>8</v>
      </c>
    </row>
    <row r="16" spans="1:8" x14ac:dyDescent="0.3">
      <c r="A16">
        <v>1.8950000000000014</v>
      </c>
      <c r="B16">
        <v>5</v>
      </c>
      <c r="D16">
        <v>0</v>
      </c>
      <c r="E16">
        <v>8</v>
      </c>
    </row>
    <row r="17" spans="1:2" x14ac:dyDescent="0.3">
      <c r="A17">
        <v>0</v>
      </c>
      <c r="B17">
        <v>5</v>
      </c>
    </row>
    <row r="18" spans="1:2" x14ac:dyDescent="0.3">
      <c r="A18">
        <v>3.6300000000000003</v>
      </c>
      <c r="B18">
        <v>5</v>
      </c>
    </row>
    <row r="19" spans="1:2" x14ac:dyDescent="0.3">
      <c r="A19">
        <v>3.9450000000000003</v>
      </c>
      <c r="B19">
        <v>5</v>
      </c>
    </row>
    <row r="20" spans="1:2" x14ac:dyDescent="0.3">
      <c r="A20">
        <v>6.0199999999999516</v>
      </c>
      <c r="B20">
        <v>5</v>
      </c>
    </row>
    <row r="21" spans="1:2" x14ac:dyDescent="0.3">
      <c r="A21">
        <v>0.95000000000000062</v>
      </c>
      <c r="B21">
        <v>6</v>
      </c>
    </row>
    <row r="22" spans="1:2" x14ac:dyDescent="0.3">
      <c r="A22">
        <v>0.73000000000000043</v>
      </c>
      <c r="B22">
        <v>6</v>
      </c>
    </row>
    <row r="23" spans="1:2" x14ac:dyDescent="0.3">
      <c r="A23">
        <v>0</v>
      </c>
      <c r="B23">
        <v>6</v>
      </c>
    </row>
    <row r="24" spans="1:2" x14ac:dyDescent="0.3">
      <c r="A24">
        <v>0.80500000000000049</v>
      </c>
      <c r="B24">
        <v>6</v>
      </c>
    </row>
    <row r="25" spans="1:2" x14ac:dyDescent="0.3">
      <c r="A25">
        <v>0</v>
      </c>
      <c r="B25">
        <v>6</v>
      </c>
    </row>
    <row r="26" spans="1:2" x14ac:dyDescent="0.3">
      <c r="A26">
        <v>2.0150000000000015</v>
      </c>
      <c r="B26">
        <v>6</v>
      </c>
    </row>
    <row r="27" spans="1:2" x14ac:dyDescent="0.3">
      <c r="A27">
        <v>0.27500000000000013</v>
      </c>
      <c r="B27">
        <v>6</v>
      </c>
    </row>
    <row r="28" spans="1:2" x14ac:dyDescent="0.3">
      <c r="A28">
        <v>0.58000000000000029</v>
      </c>
      <c r="B28">
        <v>6</v>
      </c>
    </row>
    <row r="29" spans="1:2" x14ac:dyDescent="0.3">
      <c r="A29">
        <v>1.1750000000000007</v>
      </c>
      <c r="B29">
        <v>6</v>
      </c>
    </row>
    <row r="30" spans="1:2" x14ac:dyDescent="0.3">
      <c r="A30">
        <v>0</v>
      </c>
      <c r="B30">
        <v>6</v>
      </c>
    </row>
    <row r="31" spans="1:2" x14ac:dyDescent="0.3">
      <c r="A31">
        <v>0.60000000000000042</v>
      </c>
      <c r="B31">
        <v>6</v>
      </c>
    </row>
    <row r="32" spans="1:2" x14ac:dyDescent="0.3">
      <c r="A32">
        <v>4.620000000000001</v>
      </c>
      <c r="B32">
        <v>6</v>
      </c>
    </row>
    <row r="33" spans="1:2" x14ac:dyDescent="0.3">
      <c r="A33">
        <v>2.6699999999999955</v>
      </c>
      <c r="B33">
        <v>6</v>
      </c>
    </row>
    <row r="34" spans="1:2" x14ac:dyDescent="0.3">
      <c r="A34">
        <v>0.77000000000000046</v>
      </c>
      <c r="B34">
        <v>6</v>
      </c>
    </row>
    <row r="35" spans="1:2" x14ac:dyDescent="0.3">
      <c r="A35">
        <v>2.4149999999999778</v>
      </c>
      <c r="B35">
        <v>6</v>
      </c>
    </row>
    <row r="36" spans="1:2" x14ac:dyDescent="0.3">
      <c r="A36">
        <v>0.09</v>
      </c>
      <c r="B36">
        <v>7</v>
      </c>
    </row>
    <row r="37" spans="1:2" x14ac:dyDescent="0.3">
      <c r="A37">
        <v>0</v>
      </c>
      <c r="B37">
        <v>7</v>
      </c>
    </row>
    <row r="38" spans="1:2" x14ac:dyDescent="0.3">
      <c r="A38">
        <v>0</v>
      </c>
      <c r="B38">
        <v>7</v>
      </c>
    </row>
    <row r="39" spans="1:2" x14ac:dyDescent="0.3">
      <c r="A39">
        <v>7.0000000000000007E-2</v>
      </c>
      <c r="B39">
        <v>7</v>
      </c>
    </row>
    <row r="40" spans="1:2" x14ac:dyDescent="0.3">
      <c r="A40">
        <v>0.41500000000000026</v>
      </c>
      <c r="B40">
        <v>7</v>
      </c>
    </row>
    <row r="41" spans="1:2" x14ac:dyDescent="0.3">
      <c r="A41">
        <v>2.959999999999984</v>
      </c>
      <c r="B41">
        <v>7</v>
      </c>
    </row>
    <row r="42" spans="1:2" x14ac:dyDescent="0.3">
      <c r="A42">
        <v>5.0000000000000001E-3</v>
      </c>
      <c r="B42">
        <v>7</v>
      </c>
    </row>
    <row r="43" spans="1:2" x14ac:dyDescent="0.3">
      <c r="A43">
        <v>2.1349999999999936</v>
      </c>
      <c r="B43">
        <v>7</v>
      </c>
    </row>
    <row r="44" spans="1:2" x14ac:dyDescent="0.3">
      <c r="A44">
        <v>0.87500000000000044</v>
      </c>
      <c r="B44">
        <v>7</v>
      </c>
    </row>
    <row r="45" spans="1:2" x14ac:dyDescent="0.3">
      <c r="A45">
        <v>1.0750000000000006</v>
      </c>
      <c r="B45">
        <v>7</v>
      </c>
    </row>
    <row r="46" spans="1:2" x14ac:dyDescent="0.3">
      <c r="A46">
        <v>0.98000000000000065</v>
      </c>
      <c r="B46">
        <v>7</v>
      </c>
    </row>
    <row r="47" spans="1:2" x14ac:dyDescent="0.3">
      <c r="A47">
        <v>0.21000000000000005</v>
      </c>
      <c r="B47">
        <v>8</v>
      </c>
    </row>
    <row r="48" spans="1:2" x14ac:dyDescent="0.3">
      <c r="A48">
        <v>0.39000000000000024</v>
      </c>
      <c r="B48">
        <v>8</v>
      </c>
    </row>
    <row r="49" spans="1:2" x14ac:dyDescent="0.3">
      <c r="A49">
        <v>0</v>
      </c>
      <c r="B49">
        <v>8</v>
      </c>
    </row>
    <row r="50" spans="1:2" x14ac:dyDescent="0.3">
      <c r="A50">
        <v>0.66000000000000036</v>
      </c>
      <c r="B50">
        <v>8</v>
      </c>
    </row>
    <row r="51" spans="1:2" x14ac:dyDescent="0.3">
      <c r="A51">
        <v>0</v>
      </c>
      <c r="B51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DBD2-262E-467C-A39F-777C6FF38076}">
  <dimension ref="A1:D501"/>
  <sheetViews>
    <sheetView workbookViewId="0">
      <selection activeCell="F20" sqref="F20"/>
    </sheetView>
  </sheetViews>
  <sheetFormatPr defaultColWidth="11.19921875" defaultRowHeight="15.6" x14ac:dyDescent="0.3"/>
  <sheetData>
    <row r="1" spans="1:4" x14ac:dyDescent="0.3">
      <c r="A1" t="s">
        <v>121</v>
      </c>
      <c r="B1" t="s">
        <v>0</v>
      </c>
      <c r="C1" t="s">
        <v>110</v>
      </c>
      <c r="D1" t="s">
        <v>111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1</v>
      </c>
      <c r="B3">
        <v>1</v>
      </c>
      <c r="C3">
        <v>2</v>
      </c>
      <c r="D3">
        <v>0</v>
      </c>
    </row>
    <row r="4" spans="1:4" x14ac:dyDescent="0.3">
      <c r="A4">
        <v>1</v>
      </c>
      <c r="B4">
        <v>1</v>
      </c>
      <c r="C4">
        <v>3</v>
      </c>
      <c r="D4">
        <v>0</v>
      </c>
    </row>
    <row r="5" spans="1:4" x14ac:dyDescent="0.3">
      <c r="A5">
        <v>1</v>
      </c>
      <c r="B5">
        <v>1</v>
      </c>
      <c r="C5">
        <v>4</v>
      </c>
      <c r="D5">
        <v>3</v>
      </c>
    </row>
    <row r="6" spans="1:4" x14ac:dyDescent="0.3">
      <c r="A6">
        <v>1</v>
      </c>
      <c r="B6">
        <v>1</v>
      </c>
      <c r="C6">
        <v>5</v>
      </c>
      <c r="D6">
        <v>1.2150000000000007</v>
      </c>
    </row>
    <row r="7" spans="1:4" x14ac:dyDescent="0.3">
      <c r="A7">
        <v>1</v>
      </c>
      <c r="B7">
        <v>1</v>
      </c>
      <c r="C7">
        <v>6</v>
      </c>
      <c r="D7">
        <v>1.3550000000000009</v>
      </c>
    </row>
    <row r="8" spans="1:4" x14ac:dyDescent="0.3">
      <c r="A8">
        <v>1</v>
      </c>
      <c r="B8">
        <v>1</v>
      </c>
      <c r="C8">
        <v>7</v>
      </c>
      <c r="D8">
        <v>1.7999999999999956</v>
      </c>
    </row>
    <row r="9" spans="1:4" x14ac:dyDescent="0.3">
      <c r="A9">
        <v>1</v>
      </c>
      <c r="B9">
        <v>1</v>
      </c>
      <c r="C9">
        <v>8</v>
      </c>
      <c r="D9">
        <v>0</v>
      </c>
    </row>
    <row r="10" spans="1:4" x14ac:dyDescent="0.3">
      <c r="A10">
        <v>1</v>
      </c>
      <c r="B10">
        <v>1</v>
      </c>
      <c r="C10">
        <v>9</v>
      </c>
      <c r="D10">
        <v>3</v>
      </c>
    </row>
    <row r="11" spans="1:4" x14ac:dyDescent="0.3">
      <c r="A11">
        <v>1</v>
      </c>
      <c r="B11">
        <v>1</v>
      </c>
      <c r="C11">
        <v>10</v>
      </c>
      <c r="D11">
        <v>1.0550000000000006</v>
      </c>
    </row>
    <row r="12" spans="1:4" x14ac:dyDescent="0.3">
      <c r="A12">
        <v>3</v>
      </c>
      <c r="B12">
        <v>2</v>
      </c>
      <c r="C12">
        <v>1</v>
      </c>
      <c r="D12">
        <v>0</v>
      </c>
    </row>
    <row r="13" spans="1:4" x14ac:dyDescent="0.3">
      <c r="A13">
        <v>3</v>
      </c>
      <c r="B13">
        <v>2</v>
      </c>
      <c r="C13">
        <v>2</v>
      </c>
      <c r="D13">
        <v>0.11000000000000003</v>
      </c>
    </row>
    <row r="14" spans="1:4" x14ac:dyDescent="0.3">
      <c r="A14">
        <v>3</v>
      </c>
      <c r="B14">
        <v>2</v>
      </c>
      <c r="C14">
        <v>3</v>
      </c>
      <c r="D14">
        <v>0.17500000000000007</v>
      </c>
    </row>
    <row r="15" spans="1:4" x14ac:dyDescent="0.3">
      <c r="A15">
        <v>3</v>
      </c>
      <c r="B15">
        <v>2</v>
      </c>
      <c r="C15">
        <v>4</v>
      </c>
      <c r="D15">
        <v>0.64500000000000046</v>
      </c>
    </row>
    <row r="16" spans="1:4" x14ac:dyDescent="0.3">
      <c r="A16">
        <v>3</v>
      </c>
      <c r="B16">
        <v>2</v>
      </c>
      <c r="C16">
        <v>5</v>
      </c>
      <c r="D16">
        <v>1.264999999999995</v>
      </c>
    </row>
    <row r="17" spans="1:4" x14ac:dyDescent="0.3">
      <c r="A17">
        <v>3</v>
      </c>
      <c r="B17">
        <v>2</v>
      </c>
      <c r="C17">
        <v>6</v>
      </c>
      <c r="D17">
        <v>0</v>
      </c>
    </row>
    <row r="18" spans="1:4" x14ac:dyDescent="0.3">
      <c r="A18">
        <v>3</v>
      </c>
      <c r="B18">
        <v>2</v>
      </c>
      <c r="C18">
        <v>7</v>
      </c>
      <c r="D18">
        <v>3</v>
      </c>
    </row>
    <row r="19" spans="1:4" x14ac:dyDescent="0.3">
      <c r="A19">
        <v>3</v>
      </c>
      <c r="B19">
        <v>2</v>
      </c>
      <c r="C19">
        <v>8</v>
      </c>
      <c r="D19">
        <v>0</v>
      </c>
    </row>
    <row r="20" spans="1:4" x14ac:dyDescent="0.3">
      <c r="A20">
        <v>3</v>
      </c>
      <c r="B20">
        <v>2</v>
      </c>
      <c r="C20">
        <v>9</v>
      </c>
      <c r="D20">
        <v>0</v>
      </c>
    </row>
    <row r="21" spans="1:4" x14ac:dyDescent="0.3">
      <c r="A21">
        <v>3</v>
      </c>
      <c r="B21">
        <v>2</v>
      </c>
      <c r="C21">
        <v>10</v>
      </c>
      <c r="D21">
        <v>1.5399999999999892</v>
      </c>
    </row>
    <row r="22" spans="1:4" x14ac:dyDescent="0.3">
      <c r="A22">
        <v>3</v>
      </c>
      <c r="B22">
        <v>3</v>
      </c>
      <c r="C22">
        <v>1</v>
      </c>
      <c r="D22">
        <v>0</v>
      </c>
    </row>
    <row r="23" spans="1:4" x14ac:dyDescent="0.3">
      <c r="A23">
        <v>3</v>
      </c>
      <c r="B23">
        <v>3</v>
      </c>
      <c r="C23">
        <v>2</v>
      </c>
      <c r="D23">
        <v>0</v>
      </c>
    </row>
    <row r="24" spans="1:4" x14ac:dyDescent="0.3">
      <c r="A24">
        <v>3</v>
      </c>
      <c r="B24">
        <v>3</v>
      </c>
      <c r="C24">
        <v>3</v>
      </c>
      <c r="D24">
        <v>0</v>
      </c>
    </row>
    <row r="25" spans="1:4" x14ac:dyDescent="0.3">
      <c r="A25">
        <v>3</v>
      </c>
      <c r="B25">
        <v>3</v>
      </c>
      <c r="C25">
        <v>4</v>
      </c>
      <c r="D25">
        <v>1.3399999999999934</v>
      </c>
    </row>
    <row r="26" spans="1:4" x14ac:dyDescent="0.3">
      <c r="A26">
        <v>3</v>
      </c>
      <c r="B26">
        <v>3</v>
      </c>
      <c r="C26">
        <v>5</v>
      </c>
      <c r="D26">
        <v>0</v>
      </c>
    </row>
    <row r="27" spans="1:4" x14ac:dyDescent="0.3">
      <c r="A27">
        <v>3</v>
      </c>
      <c r="B27">
        <v>3</v>
      </c>
      <c r="C27">
        <v>6</v>
      </c>
      <c r="D27">
        <v>0</v>
      </c>
    </row>
    <row r="28" spans="1:4" x14ac:dyDescent="0.3">
      <c r="A28">
        <v>3</v>
      </c>
      <c r="B28">
        <v>3</v>
      </c>
      <c r="C28">
        <v>7</v>
      </c>
      <c r="D28">
        <v>0</v>
      </c>
    </row>
    <row r="29" spans="1:4" x14ac:dyDescent="0.3">
      <c r="A29">
        <v>3</v>
      </c>
      <c r="B29">
        <v>3</v>
      </c>
      <c r="C29">
        <v>8</v>
      </c>
      <c r="D29">
        <v>0</v>
      </c>
    </row>
    <row r="30" spans="1:4" x14ac:dyDescent="0.3">
      <c r="A30">
        <v>3</v>
      </c>
      <c r="B30">
        <v>3</v>
      </c>
      <c r="C30">
        <v>9</v>
      </c>
      <c r="D30">
        <v>0</v>
      </c>
    </row>
    <row r="31" spans="1:4" x14ac:dyDescent="0.3">
      <c r="A31">
        <v>3</v>
      </c>
      <c r="B31">
        <v>3</v>
      </c>
      <c r="C31">
        <v>10</v>
      </c>
      <c r="D31">
        <v>0.90000000000000058</v>
      </c>
    </row>
    <row r="32" spans="1:4" x14ac:dyDescent="0.3">
      <c r="A32">
        <v>4</v>
      </c>
      <c r="B32">
        <v>4</v>
      </c>
      <c r="C32">
        <v>1</v>
      </c>
      <c r="D32">
        <v>0</v>
      </c>
    </row>
    <row r="33" spans="1:4" x14ac:dyDescent="0.3">
      <c r="A33">
        <v>4</v>
      </c>
      <c r="B33">
        <v>4</v>
      </c>
      <c r="C33">
        <v>2</v>
      </c>
      <c r="D33">
        <v>0</v>
      </c>
    </row>
    <row r="34" spans="1:4" x14ac:dyDescent="0.3">
      <c r="A34">
        <v>4</v>
      </c>
      <c r="B34">
        <v>4</v>
      </c>
      <c r="C34">
        <v>3</v>
      </c>
      <c r="D34">
        <v>0.56000000000000028</v>
      </c>
    </row>
    <row r="35" spans="1:4" x14ac:dyDescent="0.3">
      <c r="A35">
        <v>4</v>
      </c>
      <c r="B35">
        <v>4</v>
      </c>
      <c r="C35">
        <v>4</v>
      </c>
      <c r="D35">
        <v>0.96500000000000064</v>
      </c>
    </row>
    <row r="36" spans="1:4" x14ac:dyDescent="0.3">
      <c r="A36">
        <v>4</v>
      </c>
      <c r="B36">
        <v>4</v>
      </c>
      <c r="C36">
        <v>5</v>
      </c>
      <c r="D36">
        <v>1.0399999999999998</v>
      </c>
    </row>
    <row r="37" spans="1:4" x14ac:dyDescent="0.3">
      <c r="A37">
        <v>4</v>
      </c>
      <c r="B37">
        <v>4</v>
      </c>
      <c r="C37">
        <v>6</v>
      </c>
      <c r="D37">
        <v>0</v>
      </c>
    </row>
    <row r="38" spans="1:4" x14ac:dyDescent="0.3">
      <c r="A38">
        <v>4</v>
      </c>
      <c r="B38">
        <v>4</v>
      </c>
      <c r="C38">
        <v>7</v>
      </c>
      <c r="D38">
        <v>0.87000000000000066</v>
      </c>
    </row>
    <row r="39" spans="1:4" x14ac:dyDescent="0.3">
      <c r="A39">
        <v>4</v>
      </c>
      <c r="B39">
        <v>4</v>
      </c>
      <c r="C39">
        <v>8</v>
      </c>
      <c r="D39">
        <v>0.4650000000000003</v>
      </c>
    </row>
    <row r="40" spans="1:4" x14ac:dyDescent="0.3">
      <c r="A40">
        <v>4</v>
      </c>
      <c r="B40">
        <v>4</v>
      </c>
      <c r="C40">
        <v>9</v>
      </c>
      <c r="D40">
        <v>2.4749999999999694</v>
      </c>
    </row>
    <row r="41" spans="1:4" x14ac:dyDescent="0.3">
      <c r="A41">
        <v>4</v>
      </c>
      <c r="B41">
        <v>4</v>
      </c>
      <c r="C41">
        <v>10</v>
      </c>
      <c r="D41">
        <v>0</v>
      </c>
    </row>
    <row r="42" spans="1:4" x14ac:dyDescent="0.3">
      <c r="A42">
        <v>4</v>
      </c>
      <c r="B42">
        <v>5</v>
      </c>
      <c r="C42">
        <v>1</v>
      </c>
      <c r="D42">
        <v>0</v>
      </c>
    </row>
    <row r="43" spans="1:4" x14ac:dyDescent="0.3">
      <c r="A43">
        <v>4</v>
      </c>
      <c r="B43">
        <v>5</v>
      </c>
      <c r="C43">
        <v>2</v>
      </c>
      <c r="D43">
        <v>0</v>
      </c>
    </row>
    <row r="44" spans="1:4" x14ac:dyDescent="0.3">
      <c r="A44">
        <v>4</v>
      </c>
      <c r="B44">
        <v>5</v>
      </c>
      <c r="C44">
        <v>3</v>
      </c>
      <c r="D44">
        <v>0</v>
      </c>
    </row>
    <row r="45" spans="1:4" x14ac:dyDescent="0.3">
      <c r="A45">
        <v>4</v>
      </c>
      <c r="B45">
        <v>5</v>
      </c>
      <c r="C45">
        <v>4</v>
      </c>
      <c r="D45">
        <v>0</v>
      </c>
    </row>
    <row r="46" spans="1:4" x14ac:dyDescent="0.3">
      <c r="A46">
        <v>4</v>
      </c>
      <c r="B46">
        <v>5</v>
      </c>
      <c r="C46">
        <v>5</v>
      </c>
      <c r="D46">
        <v>1.0700000000000007</v>
      </c>
    </row>
    <row r="47" spans="1:4" x14ac:dyDescent="0.3">
      <c r="A47">
        <v>4</v>
      </c>
      <c r="B47">
        <v>5</v>
      </c>
      <c r="C47">
        <v>6</v>
      </c>
      <c r="D47">
        <v>0</v>
      </c>
    </row>
    <row r="48" spans="1:4" x14ac:dyDescent="0.3">
      <c r="A48">
        <v>4</v>
      </c>
      <c r="B48">
        <v>5</v>
      </c>
      <c r="C48">
        <v>7</v>
      </c>
      <c r="D48">
        <v>0</v>
      </c>
    </row>
    <row r="49" spans="1:4" x14ac:dyDescent="0.3">
      <c r="A49">
        <v>4</v>
      </c>
      <c r="B49">
        <v>5</v>
      </c>
      <c r="C49">
        <v>8</v>
      </c>
      <c r="D49">
        <v>1.2800000000000009</v>
      </c>
    </row>
    <row r="50" spans="1:4" x14ac:dyDescent="0.3">
      <c r="A50">
        <v>4</v>
      </c>
      <c r="B50">
        <v>5</v>
      </c>
      <c r="C50">
        <v>9</v>
      </c>
      <c r="D50">
        <v>0</v>
      </c>
    </row>
    <row r="51" spans="1:4" x14ac:dyDescent="0.3">
      <c r="A51">
        <v>4</v>
      </c>
      <c r="B51">
        <v>5</v>
      </c>
      <c r="C51">
        <v>10</v>
      </c>
      <c r="D51">
        <v>0</v>
      </c>
    </row>
    <row r="52" spans="1:4" x14ac:dyDescent="0.3">
      <c r="A52">
        <v>4</v>
      </c>
      <c r="B52">
        <v>6</v>
      </c>
      <c r="C52">
        <v>1</v>
      </c>
      <c r="D52">
        <v>0</v>
      </c>
    </row>
    <row r="53" spans="1:4" x14ac:dyDescent="0.3">
      <c r="A53">
        <v>4</v>
      </c>
      <c r="B53">
        <v>6</v>
      </c>
      <c r="C53">
        <v>2</v>
      </c>
      <c r="D53">
        <v>0</v>
      </c>
    </row>
    <row r="54" spans="1:4" x14ac:dyDescent="0.3">
      <c r="A54">
        <v>4</v>
      </c>
      <c r="B54">
        <v>6</v>
      </c>
      <c r="C54">
        <v>3</v>
      </c>
      <c r="D54">
        <v>0</v>
      </c>
    </row>
    <row r="55" spans="1:4" x14ac:dyDescent="0.3">
      <c r="A55">
        <v>4</v>
      </c>
      <c r="B55">
        <v>6</v>
      </c>
      <c r="C55">
        <v>4</v>
      </c>
      <c r="D55">
        <v>0</v>
      </c>
    </row>
    <row r="56" spans="1:4" x14ac:dyDescent="0.3">
      <c r="A56">
        <v>4</v>
      </c>
      <c r="B56">
        <v>6</v>
      </c>
      <c r="C56">
        <v>5</v>
      </c>
      <c r="D56">
        <v>0</v>
      </c>
    </row>
    <row r="57" spans="1:4" x14ac:dyDescent="0.3">
      <c r="A57">
        <v>4</v>
      </c>
      <c r="B57">
        <v>6</v>
      </c>
      <c r="C57">
        <v>6</v>
      </c>
      <c r="D57">
        <v>0</v>
      </c>
    </row>
    <row r="58" spans="1:4" x14ac:dyDescent="0.3">
      <c r="A58">
        <v>4</v>
      </c>
      <c r="B58">
        <v>6</v>
      </c>
      <c r="C58">
        <v>7</v>
      </c>
      <c r="D58">
        <v>0</v>
      </c>
    </row>
    <row r="59" spans="1:4" x14ac:dyDescent="0.3">
      <c r="A59">
        <v>4</v>
      </c>
      <c r="B59">
        <v>6</v>
      </c>
      <c r="C59">
        <v>8</v>
      </c>
      <c r="D59">
        <v>0</v>
      </c>
    </row>
    <row r="60" spans="1:4" x14ac:dyDescent="0.3">
      <c r="A60">
        <v>4</v>
      </c>
      <c r="B60">
        <v>6</v>
      </c>
      <c r="C60">
        <v>9</v>
      </c>
      <c r="D60">
        <v>0</v>
      </c>
    </row>
    <row r="61" spans="1:4" x14ac:dyDescent="0.3">
      <c r="A61">
        <v>4</v>
      </c>
      <c r="B61">
        <v>6</v>
      </c>
      <c r="C61">
        <v>10</v>
      </c>
      <c r="D61">
        <v>0</v>
      </c>
    </row>
    <row r="62" spans="1:4" x14ac:dyDescent="0.3">
      <c r="A62">
        <v>4</v>
      </c>
      <c r="B62">
        <v>7</v>
      </c>
      <c r="C62">
        <v>1</v>
      </c>
      <c r="D62">
        <v>0</v>
      </c>
    </row>
    <row r="63" spans="1:4" x14ac:dyDescent="0.3">
      <c r="A63">
        <v>4</v>
      </c>
      <c r="B63">
        <v>7</v>
      </c>
      <c r="C63">
        <v>2</v>
      </c>
      <c r="D63">
        <v>0</v>
      </c>
    </row>
    <row r="64" spans="1:4" x14ac:dyDescent="0.3">
      <c r="A64">
        <v>4</v>
      </c>
      <c r="B64">
        <v>7</v>
      </c>
      <c r="C64">
        <v>3</v>
      </c>
      <c r="D64">
        <v>0</v>
      </c>
    </row>
    <row r="65" spans="1:4" x14ac:dyDescent="0.3">
      <c r="A65">
        <v>4</v>
      </c>
      <c r="B65">
        <v>7</v>
      </c>
      <c r="C65">
        <v>4</v>
      </c>
      <c r="D65">
        <v>0</v>
      </c>
    </row>
    <row r="66" spans="1:4" x14ac:dyDescent="0.3">
      <c r="A66">
        <v>4</v>
      </c>
      <c r="B66">
        <v>7</v>
      </c>
      <c r="C66">
        <v>5</v>
      </c>
      <c r="D66">
        <v>0</v>
      </c>
    </row>
    <row r="67" spans="1:4" x14ac:dyDescent="0.3">
      <c r="A67">
        <v>4</v>
      </c>
      <c r="B67">
        <v>7</v>
      </c>
      <c r="C67">
        <v>6</v>
      </c>
      <c r="D67">
        <v>0</v>
      </c>
    </row>
    <row r="68" spans="1:4" x14ac:dyDescent="0.3">
      <c r="A68">
        <v>4</v>
      </c>
      <c r="B68">
        <v>7</v>
      </c>
      <c r="C68">
        <v>7</v>
      </c>
      <c r="D68">
        <v>0</v>
      </c>
    </row>
    <row r="69" spans="1:4" x14ac:dyDescent="0.3">
      <c r="A69">
        <v>4</v>
      </c>
      <c r="B69">
        <v>7</v>
      </c>
      <c r="C69">
        <v>8</v>
      </c>
      <c r="D69">
        <v>0</v>
      </c>
    </row>
    <row r="70" spans="1:4" x14ac:dyDescent="0.3">
      <c r="A70">
        <v>4</v>
      </c>
      <c r="B70">
        <v>7</v>
      </c>
      <c r="C70">
        <v>9</v>
      </c>
      <c r="D70">
        <v>0</v>
      </c>
    </row>
    <row r="71" spans="1:4" x14ac:dyDescent="0.3">
      <c r="A71">
        <v>4</v>
      </c>
      <c r="B71">
        <v>7</v>
      </c>
      <c r="C71">
        <v>10</v>
      </c>
      <c r="D71">
        <v>0</v>
      </c>
    </row>
    <row r="72" spans="1:4" x14ac:dyDescent="0.3">
      <c r="A72">
        <v>4</v>
      </c>
      <c r="B72">
        <v>8</v>
      </c>
      <c r="C72">
        <v>1</v>
      </c>
      <c r="D72">
        <v>0</v>
      </c>
    </row>
    <row r="73" spans="1:4" x14ac:dyDescent="0.3">
      <c r="A73">
        <v>4</v>
      </c>
      <c r="B73">
        <v>8</v>
      </c>
      <c r="C73">
        <v>2</v>
      </c>
      <c r="D73">
        <v>0</v>
      </c>
    </row>
    <row r="74" spans="1:4" x14ac:dyDescent="0.3">
      <c r="A74">
        <v>4</v>
      </c>
      <c r="B74">
        <v>8</v>
      </c>
      <c r="C74">
        <v>3</v>
      </c>
      <c r="D74">
        <v>0</v>
      </c>
    </row>
    <row r="75" spans="1:4" x14ac:dyDescent="0.3">
      <c r="A75">
        <v>4</v>
      </c>
      <c r="B75">
        <v>8</v>
      </c>
      <c r="C75">
        <v>4</v>
      </c>
      <c r="D75">
        <v>1.6749999999999863</v>
      </c>
    </row>
    <row r="76" spans="1:4" x14ac:dyDescent="0.3">
      <c r="A76">
        <v>4</v>
      </c>
      <c r="B76">
        <v>8</v>
      </c>
      <c r="C76">
        <v>5</v>
      </c>
      <c r="D76">
        <v>0</v>
      </c>
    </row>
    <row r="77" spans="1:4" x14ac:dyDescent="0.3">
      <c r="A77">
        <v>4</v>
      </c>
      <c r="B77">
        <v>8</v>
      </c>
      <c r="C77">
        <v>6</v>
      </c>
      <c r="D77">
        <v>0</v>
      </c>
    </row>
    <row r="78" spans="1:4" x14ac:dyDescent="0.3">
      <c r="A78">
        <v>4</v>
      </c>
      <c r="B78">
        <v>8</v>
      </c>
      <c r="C78">
        <v>7</v>
      </c>
      <c r="D78">
        <v>1.8199999999999832</v>
      </c>
    </row>
    <row r="79" spans="1:4" x14ac:dyDescent="0.3">
      <c r="A79">
        <v>4</v>
      </c>
      <c r="B79">
        <v>8</v>
      </c>
      <c r="C79">
        <v>8</v>
      </c>
      <c r="D79">
        <v>3</v>
      </c>
    </row>
    <row r="80" spans="1:4" x14ac:dyDescent="0.3">
      <c r="A80">
        <v>4</v>
      </c>
      <c r="B80">
        <v>8</v>
      </c>
      <c r="C80">
        <v>9</v>
      </c>
      <c r="D80">
        <v>0</v>
      </c>
    </row>
    <row r="81" spans="1:4" x14ac:dyDescent="0.3">
      <c r="A81">
        <v>4</v>
      </c>
      <c r="B81">
        <v>8</v>
      </c>
      <c r="C81">
        <v>10</v>
      </c>
      <c r="D81">
        <v>0</v>
      </c>
    </row>
    <row r="82" spans="1:4" x14ac:dyDescent="0.3">
      <c r="A82">
        <v>5</v>
      </c>
      <c r="B82">
        <v>9</v>
      </c>
      <c r="C82">
        <v>1</v>
      </c>
      <c r="D82">
        <v>0</v>
      </c>
    </row>
    <row r="83" spans="1:4" x14ac:dyDescent="0.3">
      <c r="A83">
        <v>5</v>
      </c>
      <c r="B83">
        <v>9</v>
      </c>
      <c r="C83">
        <v>2</v>
      </c>
      <c r="D83">
        <v>0</v>
      </c>
    </row>
    <row r="84" spans="1:4" x14ac:dyDescent="0.3">
      <c r="A84">
        <v>5</v>
      </c>
      <c r="B84">
        <v>9</v>
      </c>
      <c r="C84">
        <v>3</v>
      </c>
      <c r="D84">
        <v>0</v>
      </c>
    </row>
    <row r="85" spans="1:4" x14ac:dyDescent="0.3">
      <c r="A85">
        <v>5</v>
      </c>
      <c r="B85">
        <v>9</v>
      </c>
      <c r="C85">
        <v>4</v>
      </c>
      <c r="D85">
        <v>0</v>
      </c>
    </row>
    <row r="86" spans="1:4" x14ac:dyDescent="0.3">
      <c r="A86">
        <v>5</v>
      </c>
      <c r="B86">
        <v>9</v>
      </c>
      <c r="C86">
        <v>5</v>
      </c>
      <c r="D86">
        <v>0</v>
      </c>
    </row>
    <row r="87" spans="1:4" x14ac:dyDescent="0.3">
      <c r="A87">
        <v>5</v>
      </c>
      <c r="B87">
        <v>9</v>
      </c>
      <c r="C87">
        <v>6</v>
      </c>
      <c r="D87">
        <v>0.94500000000000073</v>
      </c>
    </row>
    <row r="88" spans="1:4" x14ac:dyDescent="0.3">
      <c r="A88">
        <v>5</v>
      </c>
      <c r="B88">
        <v>9</v>
      </c>
      <c r="C88">
        <v>7</v>
      </c>
      <c r="D88">
        <v>0</v>
      </c>
    </row>
    <row r="89" spans="1:4" x14ac:dyDescent="0.3">
      <c r="A89">
        <v>5</v>
      </c>
      <c r="B89">
        <v>9</v>
      </c>
      <c r="C89">
        <v>8</v>
      </c>
      <c r="D89">
        <v>0</v>
      </c>
    </row>
    <row r="90" spans="1:4" x14ac:dyDescent="0.3">
      <c r="A90">
        <v>5</v>
      </c>
      <c r="B90">
        <v>9</v>
      </c>
      <c r="C90">
        <v>9</v>
      </c>
      <c r="D90">
        <v>0</v>
      </c>
    </row>
    <row r="91" spans="1:4" x14ac:dyDescent="0.3">
      <c r="A91">
        <v>5</v>
      </c>
      <c r="B91">
        <v>9</v>
      </c>
      <c r="C91">
        <v>10</v>
      </c>
      <c r="D91">
        <v>0</v>
      </c>
    </row>
    <row r="92" spans="1:4" x14ac:dyDescent="0.3">
      <c r="A92">
        <v>5</v>
      </c>
      <c r="B92">
        <v>10</v>
      </c>
      <c r="C92">
        <v>1</v>
      </c>
      <c r="D92">
        <v>0</v>
      </c>
    </row>
    <row r="93" spans="1:4" x14ac:dyDescent="0.3">
      <c r="A93">
        <v>5</v>
      </c>
      <c r="B93">
        <v>10</v>
      </c>
      <c r="C93">
        <v>2</v>
      </c>
      <c r="D93">
        <v>0</v>
      </c>
    </row>
    <row r="94" spans="1:4" x14ac:dyDescent="0.3">
      <c r="A94">
        <v>5</v>
      </c>
      <c r="B94">
        <v>10</v>
      </c>
      <c r="C94">
        <v>3</v>
      </c>
      <c r="D94">
        <v>0</v>
      </c>
    </row>
    <row r="95" spans="1:4" x14ac:dyDescent="0.3">
      <c r="A95">
        <v>5</v>
      </c>
      <c r="B95">
        <v>10</v>
      </c>
      <c r="C95">
        <v>4</v>
      </c>
      <c r="D95">
        <v>0</v>
      </c>
    </row>
    <row r="96" spans="1:4" x14ac:dyDescent="0.3">
      <c r="A96">
        <v>5</v>
      </c>
      <c r="B96">
        <v>10</v>
      </c>
      <c r="C96">
        <v>5</v>
      </c>
      <c r="D96">
        <v>0</v>
      </c>
    </row>
    <row r="97" spans="1:4" x14ac:dyDescent="0.3">
      <c r="A97">
        <v>5</v>
      </c>
      <c r="B97">
        <v>10</v>
      </c>
      <c r="C97">
        <v>6</v>
      </c>
      <c r="D97">
        <v>3</v>
      </c>
    </row>
    <row r="98" spans="1:4" x14ac:dyDescent="0.3">
      <c r="A98">
        <v>5</v>
      </c>
      <c r="B98">
        <v>10</v>
      </c>
      <c r="C98">
        <v>7</v>
      </c>
      <c r="D98">
        <v>0</v>
      </c>
    </row>
    <row r="99" spans="1:4" x14ac:dyDescent="0.3">
      <c r="A99">
        <v>5</v>
      </c>
      <c r="B99">
        <v>10</v>
      </c>
      <c r="C99">
        <v>8</v>
      </c>
      <c r="D99">
        <v>0</v>
      </c>
    </row>
    <row r="100" spans="1:4" x14ac:dyDescent="0.3">
      <c r="A100">
        <v>5</v>
      </c>
      <c r="B100">
        <v>10</v>
      </c>
      <c r="C100">
        <v>9</v>
      </c>
      <c r="D100">
        <v>0</v>
      </c>
    </row>
    <row r="101" spans="1:4" x14ac:dyDescent="0.3">
      <c r="A101">
        <v>5</v>
      </c>
      <c r="B101">
        <v>10</v>
      </c>
      <c r="C101">
        <v>10</v>
      </c>
      <c r="D101">
        <v>0</v>
      </c>
    </row>
    <row r="102" spans="1:4" x14ac:dyDescent="0.3">
      <c r="A102">
        <v>5</v>
      </c>
      <c r="B102">
        <v>11</v>
      </c>
      <c r="C102">
        <v>1</v>
      </c>
      <c r="D102">
        <v>3</v>
      </c>
    </row>
    <row r="103" spans="1:4" x14ac:dyDescent="0.3">
      <c r="A103">
        <v>5</v>
      </c>
      <c r="B103">
        <v>11</v>
      </c>
      <c r="C103">
        <v>2</v>
      </c>
      <c r="D103">
        <v>0</v>
      </c>
    </row>
    <row r="104" spans="1:4" x14ac:dyDescent="0.3">
      <c r="A104">
        <v>5</v>
      </c>
      <c r="B104">
        <v>11</v>
      </c>
      <c r="C104">
        <v>3</v>
      </c>
      <c r="D104">
        <v>0</v>
      </c>
    </row>
    <row r="105" spans="1:4" x14ac:dyDescent="0.3">
      <c r="A105">
        <v>5</v>
      </c>
      <c r="B105">
        <v>11</v>
      </c>
      <c r="C105">
        <v>4</v>
      </c>
      <c r="D105">
        <v>0</v>
      </c>
    </row>
    <row r="106" spans="1:4" x14ac:dyDescent="0.3">
      <c r="A106">
        <v>5</v>
      </c>
      <c r="B106">
        <v>11</v>
      </c>
      <c r="C106">
        <v>5</v>
      </c>
      <c r="D106">
        <v>0</v>
      </c>
    </row>
    <row r="107" spans="1:4" x14ac:dyDescent="0.3">
      <c r="A107">
        <v>5</v>
      </c>
      <c r="B107">
        <v>11</v>
      </c>
      <c r="C107">
        <v>6</v>
      </c>
      <c r="D107">
        <v>0</v>
      </c>
    </row>
    <row r="108" spans="1:4" x14ac:dyDescent="0.3">
      <c r="A108">
        <v>5</v>
      </c>
      <c r="B108">
        <v>11</v>
      </c>
      <c r="C108">
        <v>7</v>
      </c>
      <c r="D108">
        <v>0</v>
      </c>
    </row>
    <row r="109" spans="1:4" x14ac:dyDescent="0.3">
      <c r="A109">
        <v>5</v>
      </c>
      <c r="B109">
        <v>11</v>
      </c>
      <c r="C109">
        <v>8</v>
      </c>
      <c r="D109">
        <v>0.98500000000000076</v>
      </c>
    </row>
    <row r="110" spans="1:4" x14ac:dyDescent="0.3">
      <c r="A110">
        <v>5</v>
      </c>
      <c r="B110">
        <v>11</v>
      </c>
      <c r="C110">
        <v>9</v>
      </c>
      <c r="D110">
        <v>0.29000000000000015</v>
      </c>
    </row>
    <row r="111" spans="1:4" x14ac:dyDescent="0.3">
      <c r="A111">
        <v>5</v>
      </c>
      <c r="B111">
        <v>11</v>
      </c>
      <c r="C111">
        <v>10</v>
      </c>
      <c r="D111">
        <v>0</v>
      </c>
    </row>
    <row r="112" spans="1:4" x14ac:dyDescent="0.3">
      <c r="A112">
        <v>5</v>
      </c>
      <c r="B112">
        <v>12</v>
      </c>
      <c r="C112">
        <v>1</v>
      </c>
      <c r="D112">
        <v>0</v>
      </c>
    </row>
    <row r="113" spans="1:4" x14ac:dyDescent="0.3">
      <c r="A113">
        <v>5</v>
      </c>
      <c r="B113">
        <v>12</v>
      </c>
      <c r="C113">
        <v>2</v>
      </c>
      <c r="D113">
        <v>0</v>
      </c>
    </row>
    <row r="114" spans="1:4" x14ac:dyDescent="0.3">
      <c r="A114">
        <v>5</v>
      </c>
      <c r="B114">
        <v>12</v>
      </c>
      <c r="C114">
        <v>3</v>
      </c>
      <c r="D114">
        <v>0</v>
      </c>
    </row>
    <row r="115" spans="1:4" x14ac:dyDescent="0.3">
      <c r="A115">
        <v>5</v>
      </c>
      <c r="B115">
        <v>12</v>
      </c>
      <c r="C115">
        <v>4</v>
      </c>
      <c r="D115">
        <v>0</v>
      </c>
    </row>
    <row r="116" spans="1:4" x14ac:dyDescent="0.3">
      <c r="A116">
        <v>5</v>
      </c>
      <c r="B116">
        <v>12</v>
      </c>
      <c r="C116">
        <v>5</v>
      </c>
      <c r="D116">
        <v>0</v>
      </c>
    </row>
    <row r="117" spans="1:4" x14ac:dyDescent="0.3">
      <c r="A117">
        <v>5</v>
      </c>
      <c r="B117">
        <v>12</v>
      </c>
      <c r="C117">
        <v>6</v>
      </c>
      <c r="D117">
        <v>0</v>
      </c>
    </row>
    <row r="118" spans="1:4" x14ac:dyDescent="0.3">
      <c r="A118">
        <v>5</v>
      </c>
      <c r="B118">
        <v>12</v>
      </c>
      <c r="C118">
        <v>7</v>
      </c>
      <c r="D118">
        <v>0</v>
      </c>
    </row>
    <row r="119" spans="1:4" x14ac:dyDescent="0.3">
      <c r="A119">
        <v>5</v>
      </c>
      <c r="B119">
        <v>12</v>
      </c>
      <c r="C119">
        <v>8</v>
      </c>
      <c r="D119">
        <v>0</v>
      </c>
    </row>
    <row r="120" spans="1:4" x14ac:dyDescent="0.3">
      <c r="A120">
        <v>5</v>
      </c>
      <c r="B120">
        <v>12</v>
      </c>
      <c r="C120">
        <v>9</v>
      </c>
      <c r="D120">
        <v>0.82500000000000051</v>
      </c>
    </row>
    <row r="121" spans="1:4" x14ac:dyDescent="0.3">
      <c r="A121">
        <v>5</v>
      </c>
      <c r="B121">
        <v>12</v>
      </c>
      <c r="C121">
        <v>10</v>
      </c>
      <c r="D121">
        <v>0</v>
      </c>
    </row>
    <row r="122" spans="1:4" x14ac:dyDescent="0.3">
      <c r="A122">
        <v>5</v>
      </c>
      <c r="B122">
        <v>13</v>
      </c>
      <c r="C122">
        <v>1</v>
      </c>
      <c r="D122">
        <v>0.70500000000000052</v>
      </c>
    </row>
    <row r="123" spans="1:4" x14ac:dyDescent="0.3">
      <c r="A123">
        <v>5</v>
      </c>
      <c r="B123">
        <v>13</v>
      </c>
      <c r="C123">
        <v>2</v>
      </c>
      <c r="D123">
        <v>0</v>
      </c>
    </row>
    <row r="124" spans="1:4" x14ac:dyDescent="0.3">
      <c r="A124">
        <v>5</v>
      </c>
      <c r="B124">
        <v>13</v>
      </c>
      <c r="C124">
        <v>3</v>
      </c>
      <c r="D124">
        <v>0.75500000000000056</v>
      </c>
    </row>
    <row r="125" spans="1:4" x14ac:dyDescent="0.3">
      <c r="A125">
        <v>5</v>
      </c>
      <c r="B125">
        <v>13</v>
      </c>
      <c r="C125">
        <v>4</v>
      </c>
      <c r="D125">
        <v>0</v>
      </c>
    </row>
    <row r="126" spans="1:4" x14ac:dyDescent="0.3">
      <c r="A126">
        <v>5</v>
      </c>
      <c r="B126">
        <v>13</v>
      </c>
      <c r="C126">
        <v>5</v>
      </c>
      <c r="D126">
        <v>0</v>
      </c>
    </row>
    <row r="127" spans="1:4" x14ac:dyDescent="0.3">
      <c r="A127">
        <v>5</v>
      </c>
      <c r="B127">
        <v>13</v>
      </c>
      <c r="C127">
        <v>6</v>
      </c>
      <c r="D127">
        <v>0</v>
      </c>
    </row>
    <row r="128" spans="1:4" x14ac:dyDescent="0.3">
      <c r="A128">
        <v>5</v>
      </c>
      <c r="B128">
        <v>13</v>
      </c>
      <c r="C128">
        <v>7</v>
      </c>
      <c r="D128">
        <v>0</v>
      </c>
    </row>
    <row r="129" spans="1:4" x14ac:dyDescent="0.3">
      <c r="A129">
        <v>5</v>
      </c>
      <c r="B129">
        <v>13</v>
      </c>
      <c r="C129">
        <v>8</v>
      </c>
      <c r="D129">
        <v>0</v>
      </c>
    </row>
    <row r="130" spans="1:4" x14ac:dyDescent="0.3">
      <c r="A130">
        <v>5</v>
      </c>
      <c r="B130">
        <v>13</v>
      </c>
      <c r="C130">
        <v>9</v>
      </c>
      <c r="D130">
        <v>0</v>
      </c>
    </row>
    <row r="131" spans="1:4" x14ac:dyDescent="0.3">
      <c r="A131">
        <v>5</v>
      </c>
      <c r="B131">
        <v>13</v>
      </c>
      <c r="C131">
        <v>10</v>
      </c>
      <c r="D131">
        <v>0</v>
      </c>
    </row>
    <row r="132" spans="1:4" x14ac:dyDescent="0.3">
      <c r="A132">
        <v>5</v>
      </c>
      <c r="B132">
        <v>14</v>
      </c>
      <c r="C132">
        <v>1</v>
      </c>
      <c r="D132">
        <v>0</v>
      </c>
    </row>
    <row r="133" spans="1:4" x14ac:dyDescent="0.3">
      <c r="A133">
        <v>5</v>
      </c>
      <c r="B133">
        <v>14</v>
      </c>
      <c r="C133">
        <v>2</v>
      </c>
      <c r="D133">
        <v>0</v>
      </c>
    </row>
    <row r="134" spans="1:4" x14ac:dyDescent="0.3">
      <c r="A134">
        <v>5</v>
      </c>
      <c r="B134">
        <v>14</v>
      </c>
      <c r="C134">
        <v>3</v>
      </c>
      <c r="D134">
        <v>0</v>
      </c>
    </row>
    <row r="135" spans="1:4" x14ac:dyDescent="0.3">
      <c r="A135">
        <v>5</v>
      </c>
      <c r="B135">
        <v>14</v>
      </c>
      <c r="C135">
        <v>4</v>
      </c>
      <c r="D135">
        <v>0</v>
      </c>
    </row>
    <row r="136" spans="1:4" x14ac:dyDescent="0.3">
      <c r="A136">
        <v>5</v>
      </c>
      <c r="B136">
        <v>14</v>
      </c>
      <c r="C136">
        <v>5</v>
      </c>
      <c r="D136">
        <v>0</v>
      </c>
    </row>
    <row r="137" spans="1:4" x14ac:dyDescent="0.3">
      <c r="A137">
        <v>5</v>
      </c>
      <c r="B137">
        <v>14</v>
      </c>
      <c r="C137">
        <v>6</v>
      </c>
      <c r="D137">
        <v>3</v>
      </c>
    </row>
    <row r="138" spans="1:4" x14ac:dyDescent="0.3">
      <c r="A138">
        <v>5</v>
      </c>
      <c r="B138">
        <v>14</v>
      </c>
      <c r="C138">
        <v>7</v>
      </c>
      <c r="D138">
        <v>0</v>
      </c>
    </row>
    <row r="139" spans="1:4" x14ac:dyDescent="0.3">
      <c r="A139">
        <v>5</v>
      </c>
      <c r="B139">
        <v>14</v>
      </c>
      <c r="C139">
        <v>8</v>
      </c>
      <c r="D139">
        <v>0</v>
      </c>
    </row>
    <row r="140" spans="1:4" x14ac:dyDescent="0.3">
      <c r="A140">
        <v>5</v>
      </c>
      <c r="B140">
        <v>14</v>
      </c>
      <c r="C140">
        <v>9</v>
      </c>
      <c r="D140">
        <v>0</v>
      </c>
    </row>
    <row r="141" spans="1:4" x14ac:dyDescent="0.3">
      <c r="A141">
        <v>5</v>
      </c>
      <c r="B141">
        <v>14</v>
      </c>
      <c r="C141">
        <v>10</v>
      </c>
      <c r="D141">
        <v>0</v>
      </c>
    </row>
    <row r="142" spans="1:4" x14ac:dyDescent="0.3">
      <c r="A142">
        <v>5</v>
      </c>
      <c r="B142">
        <v>15</v>
      </c>
      <c r="C142">
        <v>1</v>
      </c>
      <c r="D142">
        <v>0</v>
      </c>
    </row>
    <row r="143" spans="1:4" x14ac:dyDescent="0.3">
      <c r="A143">
        <v>5</v>
      </c>
      <c r="B143">
        <v>15</v>
      </c>
      <c r="C143">
        <v>2</v>
      </c>
      <c r="D143">
        <v>0.56000000000000028</v>
      </c>
    </row>
    <row r="144" spans="1:4" x14ac:dyDescent="0.3">
      <c r="A144">
        <v>5</v>
      </c>
      <c r="B144">
        <v>15</v>
      </c>
      <c r="C144">
        <v>3</v>
      </c>
      <c r="D144">
        <v>0.39000000000000024</v>
      </c>
    </row>
    <row r="145" spans="1:4" x14ac:dyDescent="0.3">
      <c r="A145">
        <v>5</v>
      </c>
      <c r="B145">
        <v>15</v>
      </c>
      <c r="C145">
        <v>4</v>
      </c>
      <c r="D145">
        <v>0</v>
      </c>
    </row>
    <row r="146" spans="1:4" x14ac:dyDescent="0.3">
      <c r="A146">
        <v>5</v>
      </c>
      <c r="B146">
        <v>15</v>
      </c>
      <c r="C146">
        <v>5</v>
      </c>
      <c r="D146">
        <v>0</v>
      </c>
    </row>
    <row r="147" spans="1:4" x14ac:dyDescent="0.3">
      <c r="A147">
        <v>5</v>
      </c>
      <c r="B147">
        <v>15</v>
      </c>
      <c r="C147">
        <v>6</v>
      </c>
      <c r="D147">
        <v>0</v>
      </c>
    </row>
    <row r="148" spans="1:4" x14ac:dyDescent="0.3">
      <c r="A148">
        <v>5</v>
      </c>
      <c r="B148">
        <v>15</v>
      </c>
      <c r="C148">
        <v>7</v>
      </c>
      <c r="D148">
        <v>0</v>
      </c>
    </row>
    <row r="149" spans="1:4" x14ac:dyDescent="0.3">
      <c r="A149">
        <v>5</v>
      </c>
      <c r="B149">
        <v>15</v>
      </c>
      <c r="C149">
        <v>8</v>
      </c>
      <c r="D149">
        <v>0.94500000000000073</v>
      </c>
    </row>
    <row r="150" spans="1:4" x14ac:dyDescent="0.3">
      <c r="A150">
        <v>5</v>
      </c>
      <c r="B150">
        <v>15</v>
      </c>
      <c r="C150">
        <v>9</v>
      </c>
      <c r="D150">
        <v>0</v>
      </c>
    </row>
    <row r="151" spans="1:4" x14ac:dyDescent="0.3">
      <c r="A151">
        <v>5</v>
      </c>
      <c r="B151">
        <v>15</v>
      </c>
      <c r="C151">
        <v>10</v>
      </c>
      <c r="D151">
        <v>0</v>
      </c>
    </row>
    <row r="152" spans="1:4" x14ac:dyDescent="0.3">
      <c r="A152">
        <v>5</v>
      </c>
      <c r="B152">
        <v>16</v>
      </c>
      <c r="C152">
        <v>1</v>
      </c>
      <c r="D152">
        <v>0</v>
      </c>
    </row>
    <row r="153" spans="1:4" x14ac:dyDescent="0.3">
      <c r="A153">
        <v>5</v>
      </c>
      <c r="B153">
        <v>16</v>
      </c>
      <c r="C153">
        <v>2</v>
      </c>
      <c r="D153">
        <v>0</v>
      </c>
    </row>
    <row r="154" spans="1:4" x14ac:dyDescent="0.3">
      <c r="A154">
        <v>5</v>
      </c>
      <c r="B154">
        <v>16</v>
      </c>
      <c r="C154">
        <v>3</v>
      </c>
      <c r="D154">
        <v>0</v>
      </c>
    </row>
    <row r="155" spans="1:4" x14ac:dyDescent="0.3">
      <c r="A155">
        <v>5</v>
      </c>
      <c r="B155">
        <v>16</v>
      </c>
      <c r="C155">
        <v>4</v>
      </c>
      <c r="D155">
        <v>0</v>
      </c>
    </row>
    <row r="156" spans="1:4" x14ac:dyDescent="0.3">
      <c r="A156">
        <v>5</v>
      </c>
      <c r="B156">
        <v>16</v>
      </c>
      <c r="C156">
        <v>5</v>
      </c>
      <c r="D156">
        <v>0</v>
      </c>
    </row>
    <row r="157" spans="1:4" x14ac:dyDescent="0.3">
      <c r="A157">
        <v>5</v>
      </c>
      <c r="B157">
        <v>16</v>
      </c>
      <c r="C157">
        <v>6</v>
      </c>
      <c r="D157">
        <v>0</v>
      </c>
    </row>
    <row r="158" spans="1:4" x14ac:dyDescent="0.3">
      <c r="A158">
        <v>5</v>
      </c>
      <c r="B158">
        <v>16</v>
      </c>
      <c r="C158">
        <v>7</v>
      </c>
      <c r="D158">
        <v>0</v>
      </c>
    </row>
    <row r="159" spans="1:4" x14ac:dyDescent="0.3">
      <c r="A159">
        <v>5</v>
      </c>
      <c r="B159">
        <v>16</v>
      </c>
      <c r="C159">
        <v>8</v>
      </c>
      <c r="D159">
        <v>0</v>
      </c>
    </row>
    <row r="160" spans="1:4" x14ac:dyDescent="0.3">
      <c r="A160">
        <v>5</v>
      </c>
      <c r="B160">
        <v>16</v>
      </c>
      <c r="C160">
        <v>9</v>
      </c>
      <c r="D160">
        <v>0</v>
      </c>
    </row>
    <row r="161" spans="1:4" x14ac:dyDescent="0.3">
      <c r="A161">
        <v>5</v>
      </c>
      <c r="B161">
        <v>16</v>
      </c>
      <c r="C161">
        <v>10</v>
      </c>
      <c r="D161">
        <v>0</v>
      </c>
    </row>
    <row r="162" spans="1:4" x14ac:dyDescent="0.3">
      <c r="A162">
        <v>5</v>
      </c>
      <c r="B162">
        <v>17</v>
      </c>
      <c r="C162">
        <v>1</v>
      </c>
      <c r="D162">
        <v>0.32500000000000018</v>
      </c>
    </row>
    <row r="163" spans="1:4" x14ac:dyDescent="0.3">
      <c r="A163">
        <v>5</v>
      </c>
      <c r="B163">
        <v>17</v>
      </c>
      <c r="C163">
        <v>2</v>
      </c>
      <c r="D163">
        <v>0</v>
      </c>
    </row>
    <row r="164" spans="1:4" x14ac:dyDescent="0.3">
      <c r="A164">
        <v>5</v>
      </c>
      <c r="B164">
        <v>17</v>
      </c>
      <c r="C164">
        <v>3</v>
      </c>
      <c r="D164">
        <v>0</v>
      </c>
    </row>
    <row r="165" spans="1:4" x14ac:dyDescent="0.3">
      <c r="A165">
        <v>5</v>
      </c>
      <c r="B165">
        <v>17</v>
      </c>
      <c r="C165">
        <v>4</v>
      </c>
      <c r="D165">
        <v>0.30500000000000016</v>
      </c>
    </row>
    <row r="166" spans="1:4" x14ac:dyDescent="0.3">
      <c r="A166">
        <v>5</v>
      </c>
      <c r="B166">
        <v>17</v>
      </c>
      <c r="C166">
        <v>5</v>
      </c>
      <c r="D166">
        <v>0</v>
      </c>
    </row>
    <row r="167" spans="1:4" x14ac:dyDescent="0.3">
      <c r="A167">
        <v>5</v>
      </c>
      <c r="B167">
        <v>17</v>
      </c>
      <c r="C167">
        <v>6</v>
      </c>
      <c r="D167">
        <v>0</v>
      </c>
    </row>
    <row r="168" spans="1:4" x14ac:dyDescent="0.3">
      <c r="A168">
        <v>5</v>
      </c>
      <c r="B168">
        <v>17</v>
      </c>
      <c r="C168">
        <v>7</v>
      </c>
      <c r="D168">
        <v>3</v>
      </c>
    </row>
    <row r="169" spans="1:4" x14ac:dyDescent="0.3">
      <c r="A169">
        <v>5</v>
      </c>
      <c r="B169">
        <v>17</v>
      </c>
      <c r="C169">
        <v>8</v>
      </c>
      <c r="D169">
        <v>0</v>
      </c>
    </row>
    <row r="170" spans="1:4" x14ac:dyDescent="0.3">
      <c r="A170">
        <v>5</v>
      </c>
      <c r="B170">
        <v>17</v>
      </c>
      <c r="C170">
        <v>9</v>
      </c>
      <c r="D170">
        <v>0</v>
      </c>
    </row>
    <row r="171" spans="1:4" x14ac:dyDescent="0.3">
      <c r="A171">
        <v>5</v>
      </c>
      <c r="B171">
        <v>17</v>
      </c>
      <c r="C171">
        <v>10</v>
      </c>
      <c r="D171">
        <v>0</v>
      </c>
    </row>
    <row r="172" spans="1:4" x14ac:dyDescent="0.3">
      <c r="A172">
        <v>5</v>
      </c>
      <c r="B172">
        <v>18</v>
      </c>
      <c r="C172">
        <v>1</v>
      </c>
      <c r="D172">
        <v>0.15500000000000005</v>
      </c>
    </row>
    <row r="173" spans="1:4" x14ac:dyDescent="0.3">
      <c r="A173">
        <v>5</v>
      </c>
      <c r="B173">
        <v>18</v>
      </c>
      <c r="C173">
        <v>2</v>
      </c>
      <c r="D173">
        <v>0</v>
      </c>
    </row>
    <row r="174" spans="1:4" x14ac:dyDescent="0.3">
      <c r="A174">
        <v>5</v>
      </c>
      <c r="B174">
        <v>18</v>
      </c>
      <c r="C174">
        <v>3</v>
      </c>
      <c r="D174">
        <v>0.40000000000000024</v>
      </c>
    </row>
    <row r="175" spans="1:4" x14ac:dyDescent="0.3">
      <c r="A175">
        <v>5</v>
      </c>
      <c r="B175">
        <v>18</v>
      </c>
      <c r="C175">
        <v>4</v>
      </c>
      <c r="D175">
        <v>0</v>
      </c>
    </row>
    <row r="176" spans="1:4" x14ac:dyDescent="0.3">
      <c r="A176">
        <v>5</v>
      </c>
      <c r="B176">
        <v>18</v>
      </c>
      <c r="C176">
        <v>5</v>
      </c>
      <c r="D176">
        <v>0</v>
      </c>
    </row>
    <row r="177" spans="1:4" x14ac:dyDescent="0.3">
      <c r="A177">
        <v>5</v>
      </c>
      <c r="B177">
        <v>18</v>
      </c>
      <c r="C177">
        <v>6</v>
      </c>
      <c r="D177">
        <v>0</v>
      </c>
    </row>
    <row r="178" spans="1:4" x14ac:dyDescent="0.3">
      <c r="A178">
        <v>5</v>
      </c>
      <c r="B178">
        <v>18</v>
      </c>
      <c r="C178">
        <v>7</v>
      </c>
      <c r="D178">
        <v>0.39000000000000024</v>
      </c>
    </row>
    <row r="179" spans="1:4" x14ac:dyDescent="0.3">
      <c r="A179">
        <v>5</v>
      </c>
      <c r="B179">
        <v>18</v>
      </c>
      <c r="C179">
        <v>8</v>
      </c>
      <c r="D179">
        <v>3</v>
      </c>
    </row>
    <row r="180" spans="1:4" x14ac:dyDescent="0.3">
      <c r="A180">
        <v>5</v>
      </c>
      <c r="B180">
        <v>18</v>
      </c>
      <c r="C180">
        <v>9</v>
      </c>
      <c r="D180">
        <v>0</v>
      </c>
    </row>
    <row r="181" spans="1:4" x14ac:dyDescent="0.3">
      <c r="A181">
        <v>5</v>
      </c>
      <c r="B181">
        <v>18</v>
      </c>
      <c r="C181">
        <v>10</v>
      </c>
      <c r="D181">
        <v>0</v>
      </c>
    </row>
    <row r="182" spans="1:4" x14ac:dyDescent="0.3">
      <c r="A182">
        <v>5</v>
      </c>
      <c r="B182">
        <v>19</v>
      </c>
      <c r="C182">
        <v>1</v>
      </c>
      <c r="D182">
        <v>0</v>
      </c>
    </row>
    <row r="183" spans="1:4" x14ac:dyDescent="0.3">
      <c r="A183">
        <v>5</v>
      </c>
      <c r="B183">
        <v>19</v>
      </c>
      <c r="C183">
        <v>2</v>
      </c>
      <c r="D183">
        <v>0.21500000000000005</v>
      </c>
    </row>
    <row r="184" spans="1:4" x14ac:dyDescent="0.3">
      <c r="A184">
        <v>5</v>
      </c>
      <c r="B184">
        <v>19</v>
      </c>
      <c r="C184">
        <v>3</v>
      </c>
      <c r="D184">
        <v>1.5049999999999899</v>
      </c>
    </row>
    <row r="185" spans="1:4" x14ac:dyDescent="0.3">
      <c r="A185">
        <v>5</v>
      </c>
      <c r="B185">
        <v>19</v>
      </c>
      <c r="C185">
        <v>4</v>
      </c>
      <c r="D185">
        <v>0</v>
      </c>
    </row>
    <row r="186" spans="1:4" x14ac:dyDescent="0.3">
      <c r="A186">
        <v>5</v>
      </c>
      <c r="B186">
        <v>19</v>
      </c>
      <c r="C186">
        <v>5</v>
      </c>
      <c r="D186">
        <v>1.8149999999999833</v>
      </c>
    </row>
    <row r="187" spans="1:4" x14ac:dyDescent="0.3">
      <c r="A187">
        <v>5</v>
      </c>
      <c r="B187">
        <v>19</v>
      </c>
      <c r="C187">
        <v>6</v>
      </c>
      <c r="D187">
        <v>0</v>
      </c>
    </row>
    <row r="188" spans="1:4" x14ac:dyDescent="0.3">
      <c r="A188">
        <v>5</v>
      </c>
      <c r="B188">
        <v>19</v>
      </c>
      <c r="C188">
        <v>7</v>
      </c>
      <c r="D188">
        <v>2.0949999999999775</v>
      </c>
    </row>
    <row r="189" spans="1:4" x14ac:dyDescent="0.3">
      <c r="A189">
        <v>5</v>
      </c>
      <c r="B189">
        <v>19</v>
      </c>
      <c r="C189">
        <v>8</v>
      </c>
      <c r="D189">
        <v>0.39000000000000024</v>
      </c>
    </row>
    <row r="190" spans="1:4" x14ac:dyDescent="0.3">
      <c r="A190">
        <v>5</v>
      </c>
      <c r="B190">
        <v>19</v>
      </c>
      <c r="C190">
        <v>9</v>
      </c>
      <c r="D190">
        <v>0</v>
      </c>
    </row>
    <row r="191" spans="1:4" x14ac:dyDescent="0.3">
      <c r="A191">
        <v>5</v>
      </c>
      <c r="B191">
        <v>19</v>
      </c>
      <c r="C191">
        <v>10</v>
      </c>
      <c r="D191">
        <v>0</v>
      </c>
    </row>
    <row r="192" spans="1:4" x14ac:dyDescent="0.3">
      <c r="A192">
        <v>6</v>
      </c>
      <c r="B192">
        <v>20</v>
      </c>
      <c r="C192">
        <v>1</v>
      </c>
      <c r="D192">
        <v>0</v>
      </c>
    </row>
    <row r="193" spans="1:4" x14ac:dyDescent="0.3">
      <c r="A193">
        <v>6</v>
      </c>
      <c r="B193">
        <v>20</v>
      </c>
      <c r="C193">
        <v>2</v>
      </c>
      <c r="D193">
        <v>0</v>
      </c>
    </row>
    <row r="194" spans="1:4" x14ac:dyDescent="0.3">
      <c r="A194">
        <v>6</v>
      </c>
      <c r="B194">
        <v>20</v>
      </c>
      <c r="C194">
        <v>3</v>
      </c>
      <c r="D194">
        <v>0</v>
      </c>
    </row>
    <row r="195" spans="1:4" x14ac:dyDescent="0.3">
      <c r="A195">
        <v>6</v>
      </c>
      <c r="B195">
        <v>20</v>
      </c>
      <c r="C195">
        <v>4</v>
      </c>
      <c r="D195">
        <v>0</v>
      </c>
    </row>
    <row r="196" spans="1:4" x14ac:dyDescent="0.3">
      <c r="A196">
        <v>6</v>
      </c>
      <c r="B196">
        <v>20</v>
      </c>
      <c r="C196">
        <v>5</v>
      </c>
      <c r="D196">
        <v>0</v>
      </c>
    </row>
    <row r="197" spans="1:4" x14ac:dyDescent="0.3">
      <c r="A197">
        <v>6</v>
      </c>
      <c r="B197">
        <v>20</v>
      </c>
      <c r="C197">
        <v>6</v>
      </c>
      <c r="D197">
        <v>0</v>
      </c>
    </row>
    <row r="198" spans="1:4" x14ac:dyDescent="0.3">
      <c r="A198">
        <v>6</v>
      </c>
      <c r="B198">
        <v>20</v>
      </c>
      <c r="C198">
        <v>7</v>
      </c>
      <c r="D198">
        <v>0</v>
      </c>
    </row>
    <row r="199" spans="1:4" x14ac:dyDescent="0.3">
      <c r="A199">
        <v>6</v>
      </c>
      <c r="B199">
        <v>20</v>
      </c>
      <c r="C199">
        <v>8</v>
      </c>
      <c r="D199">
        <v>0</v>
      </c>
    </row>
    <row r="200" spans="1:4" x14ac:dyDescent="0.3">
      <c r="A200">
        <v>6</v>
      </c>
      <c r="B200">
        <v>20</v>
      </c>
      <c r="C200">
        <v>9</v>
      </c>
      <c r="D200">
        <v>0.95000000000000062</v>
      </c>
    </row>
    <row r="201" spans="1:4" x14ac:dyDescent="0.3">
      <c r="A201">
        <v>6</v>
      </c>
      <c r="B201">
        <v>20</v>
      </c>
      <c r="C201">
        <v>10</v>
      </c>
      <c r="D201">
        <v>0</v>
      </c>
    </row>
    <row r="202" spans="1:4" x14ac:dyDescent="0.3">
      <c r="A202">
        <v>6</v>
      </c>
      <c r="B202">
        <v>21</v>
      </c>
      <c r="C202">
        <v>1</v>
      </c>
      <c r="D202">
        <v>0</v>
      </c>
    </row>
    <row r="203" spans="1:4" x14ac:dyDescent="0.3">
      <c r="A203">
        <v>6</v>
      </c>
      <c r="B203">
        <v>21</v>
      </c>
      <c r="C203">
        <v>2</v>
      </c>
      <c r="D203">
        <v>0</v>
      </c>
    </row>
    <row r="204" spans="1:4" x14ac:dyDescent="0.3">
      <c r="A204">
        <v>6</v>
      </c>
      <c r="B204">
        <v>21</v>
      </c>
      <c r="C204">
        <v>3</v>
      </c>
      <c r="D204">
        <v>0</v>
      </c>
    </row>
    <row r="205" spans="1:4" x14ac:dyDescent="0.3">
      <c r="A205">
        <v>6</v>
      </c>
      <c r="B205">
        <v>21</v>
      </c>
      <c r="C205">
        <v>4</v>
      </c>
      <c r="D205">
        <v>0</v>
      </c>
    </row>
    <row r="206" spans="1:4" x14ac:dyDescent="0.3">
      <c r="A206">
        <v>6</v>
      </c>
      <c r="B206">
        <v>21</v>
      </c>
      <c r="C206">
        <v>5</v>
      </c>
      <c r="D206">
        <v>0</v>
      </c>
    </row>
    <row r="207" spans="1:4" x14ac:dyDescent="0.3">
      <c r="A207">
        <v>6</v>
      </c>
      <c r="B207">
        <v>21</v>
      </c>
      <c r="C207">
        <v>6</v>
      </c>
      <c r="D207">
        <v>0</v>
      </c>
    </row>
    <row r="208" spans="1:4" x14ac:dyDescent="0.3">
      <c r="A208">
        <v>6</v>
      </c>
      <c r="B208">
        <v>21</v>
      </c>
      <c r="C208">
        <v>7</v>
      </c>
      <c r="D208">
        <v>0.73000000000000043</v>
      </c>
    </row>
    <row r="209" spans="1:4" x14ac:dyDescent="0.3">
      <c r="A209">
        <v>6</v>
      </c>
      <c r="B209">
        <v>21</v>
      </c>
      <c r="C209">
        <v>8</v>
      </c>
      <c r="D209">
        <v>0</v>
      </c>
    </row>
    <row r="210" spans="1:4" x14ac:dyDescent="0.3">
      <c r="A210">
        <v>6</v>
      </c>
      <c r="B210">
        <v>21</v>
      </c>
      <c r="C210">
        <v>9</v>
      </c>
      <c r="D210">
        <v>0</v>
      </c>
    </row>
    <row r="211" spans="1:4" x14ac:dyDescent="0.3">
      <c r="A211">
        <v>6</v>
      </c>
      <c r="B211">
        <v>21</v>
      </c>
      <c r="C211">
        <v>10</v>
      </c>
      <c r="D211">
        <v>0</v>
      </c>
    </row>
    <row r="212" spans="1:4" x14ac:dyDescent="0.3">
      <c r="A212">
        <v>6</v>
      </c>
      <c r="B212">
        <v>22</v>
      </c>
      <c r="C212">
        <v>1</v>
      </c>
      <c r="D212">
        <v>0</v>
      </c>
    </row>
    <row r="213" spans="1:4" x14ac:dyDescent="0.3">
      <c r="A213">
        <v>6</v>
      </c>
      <c r="B213">
        <v>22</v>
      </c>
      <c r="C213">
        <v>2</v>
      </c>
      <c r="D213">
        <v>0</v>
      </c>
    </row>
    <row r="214" spans="1:4" x14ac:dyDescent="0.3">
      <c r="A214">
        <v>6</v>
      </c>
      <c r="B214">
        <v>22</v>
      </c>
      <c r="C214">
        <v>3</v>
      </c>
      <c r="D214">
        <v>0</v>
      </c>
    </row>
    <row r="215" spans="1:4" x14ac:dyDescent="0.3">
      <c r="A215">
        <v>6</v>
      </c>
      <c r="B215">
        <v>22</v>
      </c>
      <c r="C215">
        <v>4</v>
      </c>
      <c r="D215">
        <v>0</v>
      </c>
    </row>
    <row r="216" spans="1:4" x14ac:dyDescent="0.3">
      <c r="A216">
        <v>6</v>
      </c>
      <c r="B216">
        <v>22</v>
      </c>
      <c r="C216">
        <v>5</v>
      </c>
      <c r="D216">
        <v>0</v>
      </c>
    </row>
    <row r="217" spans="1:4" x14ac:dyDescent="0.3">
      <c r="A217">
        <v>6</v>
      </c>
      <c r="B217">
        <v>22</v>
      </c>
      <c r="C217">
        <v>6</v>
      </c>
      <c r="D217">
        <v>0</v>
      </c>
    </row>
    <row r="218" spans="1:4" x14ac:dyDescent="0.3">
      <c r="A218">
        <v>6</v>
      </c>
      <c r="B218">
        <v>22</v>
      </c>
      <c r="C218">
        <v>7</v>
      </c>
      <c r="D218">
        <v>0</v>
      </c>
    </row>
    <row r="219" spans="1:4" x14ac:dyDescent="0.3">
      <c r="A219">
        <v>6</v>
      </c>
      <c r="B219">
        <v>22</v>
      </c>
      <c r="C219">
        <v>8</v>
      </c>
      <c r="D219">
        <v>0</v>
      </c>
    </row>
    <row r="220" spans="1:4" x14ac:dyDescent="0.3">
      <c r="A220">
        <v>6</v>
      </c>
      <c r="B220">
        <v>22</v>
      </c>
      <c r="C220">
        <v>9</v>
      </c>
      <c r="D220">
        <v>0</v>
      </c>
    </row>
    <row r="221" spans="1:4" x14ac:dyDescent="0.3">
      <c r="A221">
        <v>6</v>
      </c>
      <c r="B221">
        <v>22</v>
      </c>
      <c r="C221">
        <v>10</v>
      </c>
      <c r="D221">
        <v>0</v>
      </c>
    </row>
    <row r="222" spans="1:4" x14ac:dyDescent="0.3">
      <c r="A222">
        <v>6</v>
      </c>
      <c r="B222">
        <v>23</v>
      </c>
      <c r="C222">
        <v>1</v>
      </c>
      <c r="D222">
        <v>0</v>
      </c>
    </row>
    <row r="223" spans="1:4" x14ac:dyDescent="0.3">
      <c r="A223">
        <v>6</v>
      </c>
      <c r="B223">
        <v>23</v>
      </c>
      <c r="C223">
        <v>2</v>
      </c>
      <c r="D223">
        <v>0</v>
      </c>
    </row>
    <row r="224" spans="1:4" x14ac:dyDescent="0.3">
      <c r="A224">
        <v>6</v>
      </c>
      <c r="B224">
        <v>23</v>
      </c>
      <c r="C224">
        <v>3</v>
      </c>
      <c r="D224">
        <v>0</v>
      </c>
    </row>
    <row r="225" spans="1:4" x14ac:dyDescent="0.3">
      <c r="A225">
        <v>6</v>
      </c>
      <c r="B225">
        <v>23</v>
      </c>
      <c r="C225">
        <v>4</v>
      </c>
      <c r="D225">
        <v>0</v>
      </c>
    </row>
    <row r="226" spans="1:4" x14ac:dyDescent="0.3">
      <c r="A226">
        <v>6</v>
      </c>
      <c r="B226">
        <v>23</v>
      </c>
      <c r="C226">
        <v>5</v>
      </c>
      <c r="D226">
        <v>0.40500000000000025</v>
      </c>
    </row>
    <row r="227" spans="1:4" x14ac:dyDescent="0.3">
      <c r="A227">
        <v>6</v>
      </c>
      <c r="B227">
        <v>23</v>
      </c>
      <c r="C227">
        <v>6</v>
      </c>
      <c r="D227">
        <v>0</v>
      </c>
    </row>
    <row r="228" spans="1:4" x14ac:dyDescent="0.3">
      <c r="A228">
        <v>6</v>
      </c>
      <c r="B228">
        <v>23</v>
      </c>
      <c r="C228">
        <v>7</v>
      </c>
      <c r="D228">
        <v>0</v>
      </c>
    </row>
    <row r="229" spans="1:4" x14ac:dyDescent="0.3">
      <c r="A229">
        <v>6</v>
      </c>
      <c r="B229">
        <v>23</v>
      </c>
      <c r="C229">
        <v>8</v>
      </c>
      <c r="D229">
        <v>0</v>
      </c>
    </row>
    <row r="230" spans="1:4" x14ac:dyDescent="0.3">
      <c r="A230">
        <v>6</v>
      </c>
      <c r="B230">
        <v>23</v>
      </c>
      <c r="C230">
        <v>9</v>
      </c>
      <c r="D230">
        <v>0</v>
      </c>
    </row>
    <row r="231" spans="1:4" x14ac:dyDescent="0.3">
      <c r="A231">
        <v>6</v>
      </c>
      <c r="B231">
        <v>23</v>
      </c>
      <c r="C231">
        <v>10</v>
      </c>
      <c r="D231">
        <v>0.40000000000000024</v>
      </c>
    </row>
    <row r="232" spans="1:4" x14ac:dyDescent="0.3">
      <c r="A232">
        <v>6</v>
      </c>
      <c r="B232">
        <v>24</v>
      </c>
      <c r="C232">
        <v>1</v>
      </c>
      <c r="D232">
        <v>0</v>
      </c>
    </row>
    <row r="233" spans="1:4" x14ac:dyDescent="0.3">
      <c r="A233">
        <v>6</v>
      </c>
      <c r="B233">
        <v>24</v>
      </c>
      <c r="C233">
        <v>2</v>
      </c>
      <c r="D233">
        <v>0</v>
      </c>
    </row>
    <row r="234" spans="1:4" x14ac:dyDescent="0.3">
      <c r="A234">
        <v>6</v>
      </c>
      <c r="B234">
        <v>24</v>
      </c>
      <c r="C234">
        <v>3</v>
      </c>
      <c r="D234">
        <v>0</v>
      </c>
    </row>
    <row r="235" spans="1:4" x14ac:dyDescent="0.3">
      <c r="A235">
        <v>6</v>
      </c>
      <c r="B235">
        <v>24</v>
      </c>
      <c r="C235">
        <v>4</v>
      </c>
      <c r="D235">
        <v>0</v>
      </c>
    </row>
    <row r="236" spans="1:4" x14ac:dyDescent="0.3">
      <c r="A236">
        <v>6</v>
      </c>
      <c r="B236">
        <v>24</v>
      </c>
      <c r="C236">
        <v>5</v>
      </c>
      <c r="D236">
        <v>0</v>
      </c>
    </row>
    <row r="237" spans="1:4" x14ac:dyDescent="0.3">
      <c r="A237">
        <v>6</v>
      </c>
      <c r="B237">
        <v>24</v>
      </c>
      <c r="C237">
        <v>6</v>
      </c>
      <c r="D237">
        <v>0</v>
      </c>
    </row>
    <row r="238" spans="1:4" x14ac:dyDescent="0.3">
      <c r="A238">
        <v>6</v>
      </c>
      <c r="B238">
        <v>24</v>
      </c>
      <c r="C238">
        <v>7</v>
      </c>
      <c r="D238">
        <v>0</v>
      </c>
    </row>
    <row r="239" spans="1:4" x14ac:dyDescent="0.3">
      <c r="A239">
        <v>6</v>
      </c>
      <c r="B239">
        <v>24</v>
      </c>
      <c r="C239">
        <v>8</v>
      </c>
      <c r="D239">
        <v>0</v>
      </c>
    </row>
    <row r="240" spans="1:4" x14ac:dyDescent="0.3">
      <c r="A240">
        <v>6</v>
      </c>
      <c r="B240">
        <v>24</v>
      </c>
      <c r="C240">
        <v>9</v>
      </c>
      <c r="D240">
        <v>0</v>
      </c>
    </row>
    <row r="241" spans="1:4" x14ac:dyDescent="0.3">
      <c r="A241">
        <v>6</v>
      </c>
      <c r="B241">
        <v>24</v>
      </c>
      <c r="C241">
        <v>10</v>
      </c>
      <c r="D241">
        <v>0</v>
      </c>
    </row>
    <row r="242" spans="1:4" x14ac:dyDescent="0.3">
      <c r="A242">
        <v>6</v>
      </c>
      <c r="B242">
        <v>25</v>
      </c>
      <c r="C242">
        <v>1</v>
      </c>
      <c r="D242">
        <v>0</v>
      </c>
    </row>
    <row r="243" spans="1:4" x14ac:dyDescent="0.3">
      <c r="A243">
        <v>6</v>
      </c>
      <c r="B243">
        <v>25</v>
      </c>
      <c r="C243">
        <v>2</v>
      </c>
      <c r="D243">
        <v>0</v>
      </c>
    </row>
    <row r="244" spans="1:4" x14ac:dyDescent="0.3">
      <c r="A244">
        <v>6</v>
      </c>
      <c r="B244">
        <v>25</v>
      </c>
      <c r="C244">
        <v>3</v>
      </c>
      <c r="D244">
        <v>0.15</v>
      </c>
    </row>
    <row r="245" spans="1:4" x14ac:dyDescent="0.3">
      <c r="A245">
        <v>6</v>
      </c>
      <c r="B245">
        <v>25</v>
      </c>
      <c r="C245">
        <v>4</v>
      </c>
      <c r="D245">
        <v>0.48000000000000026</v>
      </c>
    </row>
    <row r="246" spans="1:4" x14ac:dyDescent="0.3">
      <c r="A246">
        <v>6</v>
      </c>
      <c r="B246">
        <v>25</v>
      </c>
      <c r="C246">
        <v>5</v>
      </c>
      <c r="D246">
        <v>0</v>
      </c>
    </row>
    <row r="247" spans="1:4" x14ac:dyDescent="0.3">
      <c r="A247">
        <v>6</v>
      </c>
      <c r="B247">
        <v>25</v>
      </c>
      <c r="C247">
        <v>6</v>
      </c>
      <c r="D247">
        <v>0</v>
      </c>
    </row>
    <row r="248" spans="1:4" x14ac:dyDescent="0.3">
      <c r="A248">
        <v>6</v>
      </c>
      <c r="B248">
        <v>25</v>
      </c>
      <c r="C248">
        <v>7</v>
      </c>
      <c r="D248">
        <v>0</v>
      </c>
    </row>
    <row r="249" spans="1:4" x14ac:dyDescent="0.3">
      <c r="A249">
        <v>6</v>
      </c>
      <c r="B249">
        <v>25</v>
      </c>
      <c r="C249">
        <v>8</v>
      </c>
      <c r="D249">
        <v>0</v>
      </c>
    </row>
    <row r="250" spans="1:4" x14ac:dyDescent="0.3">
      <c r="A250">
        <v>6</v>
      </c>
      <c r="B250">
        <v>25</v>
      </c>
      <c r="C250">
        <v>9</v>
      </c>
      <c r="D250">
        <v>0</v>
      </c>
    </row>
    <row r="251" spans="1:4" x14ac:dyDescent="0.3">
      <c r="A251">
        <v>6</v>
      </c>
      <c r="B251">
        <v>25</v>
      </c>
      <c r="C251">
        <v>10</v>
      </c>
      <c r="D251">
        <v>1.3850000000000011</v>
      </c>
    </row>
    <row r="252" spans="1:4" x14ac:dyDescent="0.3">
      <c r="A252">
        <v>6</v>
      </c>
      <c r="B252">
        <v>26</v>
      </c>
      <c r="C252">
        <v>1</v>
      </c>
      <c r="D252">
        <v>0</v>
      </c>
    </row>
    <row r="253" spans="1:4" x14ac:dyDescent="0.3">
      <c r="A253">
        <v>6</v>
      </c>
      <c r="B253">
        <v>26</v>
      </c>
      <c r="C253">
        <v>2</v>
      </c>
      <c r="D253">
        <v>0</v>
      </c>
    </row>
    <row r="254" spans="1:4" x14ac:dyDescent="0.3">
      <c r="A254">
        <v>6</v>
      </c>
      <c r="B254">
        <v>26</v>
      </c>
      <c r="C254">
        <v>3</v>
      </c>
      <c r="D254">
        <v>0</v>
      </c>
    </row>
    <row r="255" spans="1:4" x14ac:dyDescent="0.3">
      <c r="A255">
        <v>6</v>
      </c>
      <c r="B255">
        <v>26</v>
      </c>
      <c r="C255">
        <v>4</v>
      </c>
      <c r="D255">
        <v>4.9999999999999996E-2</v>
      </c>
    </row>
    <row r="256" spans="1:4" x14ac:dyDescent="0.3">
      <c r="A256">
        <v>6</v>
      </c>
      <c r="B256">
        <v>26</v>
      </c>
      <c r="C256">
        <v>5</v>
      </c>
      <c r="D256">
        <v>0</v>
      </c>
    </row>
    <row r="257" spans="1:4" x14ac:dyDescent="0.3">
      <c r="A257">
        <v>6</v>
      </c>
      <c r="B257">
        <v>26</v>
      </c>
      <c r="C257">
        <v>6</v>
      </c>
      <c r="D257">
        <v>0</v>
      </c>
    </row>
    <row r="258" spans="1:4" x14ac:dyDescent="0.3">
      <c r="A258">
        <v>6</v>
      </c>
      <c r="B258">
        <v>26</v>
      </c>
      <c r="C258">
        <v>7</v>
      </c>
      <c r="D258">
        <v>0.22500000000000012</v>
      </c>
    </row>
    <row r="259" spans="1:4" x14ac:dyDescent="0.3">
      <c r="A259">
        <v>6</v>
      </c>
      <c r="B259">
        <v>26</v>
      </c>
      <c r="C259">
        <v>8</v>
      </c>
      <c r="D259">
        <v>0</v>
      </c>
    </row>
    <row r="260" spans="1:4" x14ac:dyDescent="0.3">
      <c r="A260">
        <v>6</v>
      </c>
      <c r="B260">
        <v>26</v>
      </c>
      <c r="C260">
        <v>9</v>
      </c>
      <c r="D260">
        <v>0</v>
      </c>
    </row>
    <row r="261" spans="1:4" x14ac:dyDescent="0.3">
      <c r="A261">
        <v>6</v>
      </c>
      <c r="B261">
        <v>26</v>
      </c>
      <c r="C261">
        <v>10</v>
      </c>
      <c r="D261">
        <v>0</v>
      </c>
    </row>
    <row r="262" spans="1:4" x14ac:dyDescent="0.3">
      <c r="A262">
        <v>6</v>
      </c>
      <c r="B262">
        <v>27</v>
      </c>
      <c r="C262">
        <v>1</v>
      </c>
      <c r="D262">
        <v>0</v>
      </c>
    </row>
    <row r="263" spans="1:4" x14ac:dyDescent="0.3">
      <c r="A263">
        <v>6</v>
      </c>
      <c r="B263">
        <v>27</v>
      </c>
      <c r="C263">
        <v>2</v>
      </c>
      <c r="D263">
        <v>0</v>
      </c>
    </row>
    <row r="264" spans="1:4" x14ac:dyDescent="0.3">
      <c r="A264">
        <v>6</v>
      </c>
      <c r="B264">
        <v>27</v>
      </c>
      <c r="C264">
        <v>3</v>
      </c>
      <c r="D264">
        <v>0</v>
      </c>
    </row>
    <row r="265" spans="1:4" x14ac:dyDescent="0.3">
      <c r="A265">
        <v>6</v>
      </c>
      <c r="B265">
        <v>27</v>
      </c>
      <c r="C265">
        <v>4</v>
      </c>
      <c r="D265">
        <v>0</v>
      </c>
    </row>
    <row r="266" spans="1:4" x14ac:dyDescent="0.3">
      <c r="A266">
        <v>6</v>
      </c>
      <c r="B266">
        <v>27</v>
      </c>
      <c r="C266">
        <v>5</v>
      </c>
      <c r="D266">
        <v>0</v>
      </c>
    </row>
    <row r="267" spans="1:4" x14ac:dyDescent="0.3">
      <c r="A267">
        <v>6</v>
      </c>
      <c r="B267">
        <v>27</v>
      </c>
      <c r="C267">
        <v>6</v>
      </c>
      <c r="D267">
        <v>0</v>
      </c>
    </row>
    <row r="268" spans="1:4" x14ac:dyDescent="0.3">
      <c r="A268">
        <v>6</v>
      </c>
      <c r="B268">
        <v>27</v>
      </c>
      <c r="C268">
        <v>7</v>
      </c>
      <c r="D268">
        <v>0.58000000000000029</v>
      </c>
    </row>
    <row r="269" spans="1:4" x14ac:dyDescent="0.3">
      <c r="A269">
        <v>6</v>
      </c>
      <c r="B269">
        <v>27</v>
      </c>
      <c r="C269">
        <v>8</v>
      </c>
      <c r="D269">
        <v>0</v>
      </c>
    </row>
    <row r="270" spans="1:4" x14ac:dyDescent="0.3">
      <c r="A270">
        <v>6</v>
      </c>
      <c r="B270">
        <v>27</v>
      </c>
      <c r="C270">
        <v>9</v>
      </c>
      <c r="D270">
        <v>0</v>
      </c>
    </row>
    <row r="271" spans="1:4" x14ac:dyDescent="0.3">
      <c r="A271">
        <v>6</v>
      </c>
      <c r="B271">
        <v>27</v>
      </c>
      <c r="C271">
        <v>10</v>
      </c>
      <c r="D271">
        <v>0</v>
      </c>
    </row>
    <row r="272" spans="1:4" x14ac:dyDescent="0.3">
      <c r="A272">
        <v>6</v>
      </c>
      <c r="B272">
        <v>28</v>
      </c>
      <c r="C272">
        <v>1</v>
      </c>
      <c r="D272">
        <v>0</v>
      </c>
    </row>
    <row r="273" spans="1:4" x14ac:dyDescent="0.3">
      <c r="A273">
        <v>6</v>
      </c>
      <c r="B273">
        <v>28</v>
      </c>
      <c r="C273">
        <v>2</v>
      </c>
      <c r="D273">
        <v>0</v>
      </c>
    </row>
    <row r="274" spans="1:4" x14ac:dyDescent="0.3">
      <c r="A274">
        <v>6</v>
      </c>
      <c r="B274">
        <v>28</v>
      </c>
      <c r="C274">
        <v>3</v>
      </c>
      <c r="D274">
        <v>0.60500000000000043</v>
      </c>
    </row>
    <row r="275" spans="1:4" x14ac:dyDescent="0.3">
      <c r="A275">
        <v>6</v>
      </c>
      <c r="B275">
        <v>28</v>
      </c>
      <c r="C275">
        <v>4</v>
      </c>
      <c r="D275">
        <v>0</v>
      </c>
    </row>
    <row r="276" spans="1:4" x14ac:dyDescent="0.3">
      <c r="A276">
        <v>6</v>
      </c>
      <c r="B276">
        <v>28</v>
      </c>
      <c r="C276">
        <v>5</v>
      </c>
      <c r="D276">
        <v>0</v>
      </c>
    </row>
    <row r="277" spans="1:4" x14ac:dyDescent="0.3">
      <c r="A277">
        <v>6</v>
      </c>
      <c r="B277">
        <v>28</v>
      </c>
      <c r="C277">
        <v>6</v>
      </c>
      <c r="D277">
        <v>0.57000000000000028</v>
      </c>
    </row>
    <row r="278" spans="1:4" x14ac:dyDescent="0.3">
      <c r="A278">
        <v>6</v>
      </c>
      <c r="B278">
        <v>28</v>
      </c>
      <c r="C278">
        <v>7</v>
      </c>
      <c r="D278">
        <v>0</v>
      </c>
    </row>
    <row r="279" spans="1:4" x14ac:dyDescent="0.3">
      <c r="A279">
        <v>6</v>
      </c>
      <c r="B279">
        <v>28</v>
      </c>
      <c r="C279">
        <v>8</v>
      </c>
      <c r="D279">
        <v>0</v>
      </c>
    </row>
    <row r="280" spans="1:4" x14ac:dyDescent="0.3">
      <c r="A280">
        <v>6</v>
      </c>
      <c r="B280">
        <v>28</v>
      </c>
      <c r="C280">
        <v>9</v>
      </c>
      <c r="D280">
        <v>0</v>
      </c>
    </row>
    <row r="281" spans="1:4" x14ac:dyDescent="0.3">
      <c r="A281">
        <v>6</v>
      </c>
      <c r="B281">
        <v>28</v>
      </c>
      <c r="C281">
        <v>10</v>
      </c>
      <c r="D281">
        <v>0</v>
      </c>
    </row>
    <row r="282" spans="1:4" x14ac:dyDescent="0.3">
      <c r="A282">
        <v>6</v>
      </c>
      <c r="B282">
        <v>29</v>
      </c>
      <c r="C282">
        <v>1</v>
      </c>
      <c r="D282">
        <v>0</v>
      </c>
    </row>
    <row r="283" spans="1:4" x14ac:dyDescent="0.3">
      <c r="A283">
        <v>6</v>
      </c>
      <c r="B283">
        <v>29</v>
      </c>
      <c r="C283">
        <v>2</v>
      </c>
      <c r="D283">
        <v>0</v>
      </c>
    </row>
    <row r="284" spans="1:4" x14ac:dyDescent="0.3">
      <c r="A284">
        <v>6</v>
      </c>
      <c r="B284">
        <v>29</v>
      </c>
      <c r="C284">
        <v>3</v>
      </c>
      <c r="D284">
        <v>0</v>
      </c>
    </row>
    <row r="285" spans="1:4" x14ac:dyDescent="0.3">
      <c r="A285">
        <v>6</v>
      </c>
      <c r="B285">
        <v>29</v>
      </c>
      <c r="C285">
        <v>4</v>
      </c>
      <c r="D285">
        <v>0</v>
      </c>
    </row>
    <row r="286" spans="1:4" x14ac:dyDescent="0.3">
      <c r="A286">
        <v>6</v>
      </c>
      <c r="B286">
        <v>29</v>
      </c>
      <c r="C286">
        <v>5</v>
      </c>
      <c r="D286">
        <v>0</v>
      </c>
    </row>
    <row r="287" spans="1:4" x14ac:dyDescent="0.3">
      <c r="A287">
        <v>6</v>
      </c>
      <c r="B287">
        <v>29</v>
      </c>
      <c r="C287">
        <v>6</v>
      </c>
      <c r="D287">
        <v>0</v>
      </c>
    </row>
    <row r="288" spans="1:4" x14ac:dyDescent="0.3">
      <c r="A288">
        <v>6</v>
      </c>
      <c r="B288">
        <v>29</v>
      </c>
      <c r="C288">
        <v>7</v>
      </c>
      <c r="D288">
        <v>0</v>
      </c>
    </row>
    <row r="289" spans="1:4" x14ac:dyDescent="0.3">
      <c r="A289">
        <v>6</v>
      </c>
      <c r="B289">
        <v>29</v>
      </c>
      <c r="C289">
        <v>8</v>
      </c>
      <c r="D289">
        <v>0</v>
      </c>
    </row>
    <row r="290" spans="1:4" x14ac:dyDescent="0.3">
      <c r="A290">
        <v>6</v>
      </c>
      <c r="B290">
        <v>29</v>
      </c>
      <c r="C290">
        <v>9</v>
      </c>
      <c r="D290">
        <v>0</v>
      </c>
    </row>
    <row r="291" spans="1:4" x14ac:dyDescent="0.3">
      <c r="A291">
        <v>6</v>
      </c>
      <c r="B291">
        <v>29</v>
      </c>
      <c r="C291">
        <v>10</v>
      </c>
      <c r="D291">
        <v>0</v>
      </c>
    </row>
    <row r="292" spans="1:4" x14ac:dyDescent="0.3">
      <c r="A292">
        <v>6</v>
      </c>
      <c r="B292">
        <v>30</v>
      </c>
      <c r="C292">
        <v>1</v>
      </c>
      <c r="D292">
        <v>0</v>
      </c>
    </row>
    <row r="293" spans="1:4" x14ac:dyDescent="0.3">
      <c r="A293">
        <v>6</v>
      </c>
      <c r="B293">
        <v>30</v>
      </c>
      <c r="C293">
        <v>2</v>
      </c>
      <c r="D293">
        <v>0</v>
      </c>
    </row>
    <row r="294" spans="1:4" x14ac:dyDescent="0.3">
      <c r="A294">
        <v>6</v>
      </c>
      <c r="B294">
        <v>30</v>
      </c>
      <c r="C294">
        <v>3</v>
      </c>
      <c r="D294">
        <v>0</v>
      </c>
    </row>
    <row r="295" spans="1:4" x14ac:dyDescent="0.3">
      <c r="A295">
        <v>6</v>
      </c>
      <c r="B295">
        <v>30</v>
      </c>
      <c r="C295">
        <v>4</v>
      </c>
      <c r="D295">
        <v>0</v>
      </c>
    </row>
    <row r="296" spans="1:4" x14ac:dyDescent="0.3">
      <c r="A296">
        <v>6</v>
      </c>
      <c r="B296">
        <v>30</v>
      </c>
      <c r="C296">
        <v>5</v>
      </c>
      <c r="D296">
        <v>0.60000000000000042</v>
      </c>
    </row>
    <row r="297" spans="1:4" x14ac:dyDescent="0.3">
      <c r="A297">
        <v>6</v>
      </c>
      <c r="B297">
        <v>30</v>
      </c>
      <c r="C297">
        <v>6</v>
      </c>
      <c r="D297">
        <v>0</v>
      </c>
    </row>
    <row r="298" spans="1:4" x14ac:dyDescent="0.3">
      <c r="A298">
        <v>6</v>
      </c>
      <c r="B298">
        <v>30</v>
      </c>
      <c r="C298">
        <v>7</v>
      </c>
      <c r="D298">
        <v>0</v>
      </c>
    </row>
    <row r="299" spans="1:4" x14ac:dyDescent="0.3">
      <c r="A299">
        <v>6</v>
      </c>
      <c r="B299">
        <v>30</v>
      </c>
      <c r="C299">
        <v>8</v>
      </c>
      <c r="D299">
        <v>0</v>
      </c>
    </row>
    <row r="300" spans="1:4" x14ac:dyDescent="0.3">
      <c r="A300">
        <v>6</v>
      </c>
      <c r="B300">
        <v>30</v>
      </c>
      <c r="C300">
        <v>9</v>
      </c>
      <c r="D300">
        <v>0</v>
      </c>
    </row>
    <row r="301" spans="1:4" x14ac:dyDescent="0.3">
      <c r="A301">
        <v>6</v>
      </c>
      <c r="B301">
        <v>30</v>
      </c>
      <c r="C301">
        <v>10</v>
      </c>
      <c r="D301">
        <v>0</v>
      </c>
    </row>
    <row r="302" spans="1:4" x14ac:dyDescent="0.3">
      <c r="A302">
        <v>6</v>
      </c>
      <c r="B302">
        <v>31</v>
      </c>
      <c r="C302">
        <v>1</v>
      </c>
      <c r="D302">
        <v>0</v>
      </c>
    </row>
    <row r="303" spans="1:4" x14ac:dyDescent="0.3">
      <c r="A303">
        <v>6</v>
      </c>
      <c r="B303">
        <v>31</v>
      </c>
      <c r="C303">
        <v>2</v>
      </c>
      <c r="D303">
        <v>3</v>
      </c>
    </row>
    <row r="304" spans="1:4" x14ac:dyDescent="0.3">
      <c r="A304">
        <v>6</v>
      </c>
      <c r="B304">
        <v>31</v>
      </c>
      <c r="C304">
        <v>3</v>
      </c>
      <c r="D304">
        <v>0</v>
      </c>
    </row>
    <row r="305" spans="1:4" x14ac:dyDescent="0.3">
      <c r="A305">
        <v>6</v>
      </c>
      <c r="B305">
        <v>31</v>
      </c>
      <c r="C305">
        <v>4</v>
      </c>
      <c r="D305">
        <v>0</v>
      </c>
    </row>
    <row r="306" spans="1:4" x14ac:dyDescent="0.3">
      <c r="A306">
        <v>6</v>
      </c>
      <c r="B306">
        <v>31</v>
      </c>
      <c r="C306">
        <v>5</v>
      </c>
      <c r="D306">
        <v>0</v>
      </c>
    </row>
    <row r="307" spans="1:4" x14ac:dyDescent="0.3">
      <c r="A307">
        <v>6</v>
      </c>
      <c r="B307">
        <v>31</v>
      </c>
      <c r="C307">
        <v>6</v>
      </c>
      <c r="D307">
        <v>0</v>
      </c>
    </row>
    <row r="308" spans="1:4" x14ac:dyDescent="0.3">
      <c r="A308">
        <v>6</v>
      </c>
      <c r="B308">
        <v>31</v>
      </c>
      <c r="C308">
        <v>7</v>
      </c>
      <c r="D308">
        <v>0.65500000000000047</v>
      </c>
    </row>
    <row r="309" spans="1:4" x14ac:dyDescent="0.3">
      <c r="A309">
        <v>6</v>
      </c>
      <c r="B309">
        <v>31</v>
      </c>
      <c r="C309">
        <v>8</v>
      </c>
      <c r="D309">
        <v>0</v>
      </c>
    </row>
    <row r="310" spans="1:4" x14ac:dyDescent="0.3">
      <c r="A310">
        <v>6</v>
      </c>
      <c r="B310">
        <v>31</v>
      </c>
      <c r="C310">
        <v>9</v>
      </c>
      <c r="D310">
        <v>0</v>
      </c>
    </row>
    <row r="311" spans="1:4" x14ac:dyDescent="0.3">
      <c r="A311">
        <v>6</v>
      </c>
      <c r="B311">
        <v>31</v>
      </c>
      <c r="C311">
        <v>10</v>
      </c>
      <c r="D311">
        <v>0.96500000000000064</v>
      </c>
    </row>
    <row r="312" spans="1:4" x14ac:dyDescent="0.3">
      <c r="A312">
        <v>6</v>
      </c>
      <c r="B312">
        <v>32</v>
      </c>
      <c r="C312">
        <v>1</v>
      </c>
      <c r="D312">
        <v>0</v>
      </c>
    </row>
    <row r="313" spans="1:4" x14ac:dyDescent="0.3">
      <c r="A313">
        <v>6</v>
      </c>
      <c r="B313">
        <v>32</v>
      </c>
      <c r="C313">
        <v>2</v>
      </c>
      <c r="D313">
        <v>1.370000000000001</v>
      </c>
    </row>
    <row r="314" spans="1:4" x14ac:dyDescent="0.3">
      <c r="A314">
        <v>6</v>
      </c>
      <c r="B314">
        <v>32</v>
      </c>
      <c r="C314">
        <v>3</v>
      </c>
      <c r="D314">
        <v>0</v>
      </c>
    </row>
    <row r="315" spans="1:4" x14ac:dyDescent="0.3">
      <c r="A315">
        <v>6</v>
      </c>
      <c r="B315">
        <v>32</v>
      </c>
      <c r="C315">
        <v>4</v>
      </c>
      <c r="D315">
        <v>1.2999999999999943</v>
      </c>
    </row>
    <row r="316" spans="1:4" x14ac:dyDescent="0.3">
      <c r="A316">
        <v>6</v>
      </c>
      <c r="B316">
        <v>32</v>
      </c>
      <c r="C316">
        <v>5</v>
      </c>
      <c r="D316">
        <v>0</v>
      </c>
    </row>
    <row r="317" spans="1:4" x14ac:dyDescent="0.3">
      <c r="A317">
        <v>6</v>
      </c>
      <c r="B317">
        <v>32</v>
      </c>
      <c r="C317">
        <v>6</v>
      </c>
      <c r="D317">
        <v>0</v>
      </c>
    </row>
    <row r="318" spans="1:4" x14ac:dyDescent="0.3">
      <c r="A318">
        <v>6</v>
      </c>
      <c r="B318">
        <v>32</v>
      </c>
      <c r="C318">
        <v>7</v>
      </c>
      <c r="D318">
        <v>0</v>
      </c>
    </row>
    <row r="319" spans="1:4" x14ac:dyDescent="0.3">
      <c r="A319">
        <v>6</v>
      </c>
      <c r="B319">
        <v>32</v>
      </c>
      <c r="C319">
        <v>8</v>
      </c>
      <c r="D319">
        <v>0</v>
      </c>
    </row>
    <row r="320" spans="1:4" x14ac:dyDescent="0.3">
      <c r="A320">
        <v>6</v>
      </c>
      <c r="B320">
        <v>32</v>
      </c>
      <c r="C320">
        <v>9</v>
      </c>
      <c r="D320">
        <v>0</v>
      </c>
    </row>
    <row r="321" spans="1:4" x14ac:dyDescent="0.3">
      <c r="A321">
        <v>6</v>
      </c>
      <c r="B321">
        <v>32</v>
      </c>
      <c r="C321">
        <v>10</v>
      </c>
      <c r="D321">
        <v>0</v>
      </c>
    </row>
    <row r="322" spans="1:4" x14ac:dyDescent="0.3">
      <c r="A322">
        <v>6</v>
      </c>
      <c r="B322">
        <v>33</v>
      </c>
      <c r="C322">
        <v>1</v>
      </c>
      <c r="D322">
        <v>0</v>
      </c>
    </row>
    <row r="323" spans="1:4" x14ac:dyDescent="0.3">
      <c r="A323">
        <v>6</v>
      </c>
      <c r="B323">
        <v>33</v>
      </c>
      <c r="C323">
        <v>2</v>
      </c>
      <c r="D323">
        <v>0</v>
      </c>
    </row>
    <row r="324" spans="1:4" x14ac:dyDescent="0.3">
      <c r="A324">
        <v>6</v>
      </c>
      <c r="B324">
        <v>33</v>
      </c>
      <c r="C324">
        <v>3</v>
      </c>
      <c r="D324">
        <v>0</v>
      </c>
    </row>
    <row r="325" spans="1:4" x14ac:dyDescent="0.3">
      <c r="A325">
        <v>6</v>
      </c>
      <c r="B325">
        <v>33</v>
      </c>
      <c r="C325">
        <v>4</v>
      </c>
      <c r="D325">
        <v>0.32500000000000018</v>
      </c>
    </row>
    <row r="326" spans="1:4" x14ac:dyDescent="0.3">
      <c r="A326">
        <v>6</v>
      </c>
      <c r="B326">
        <v>33</v>
      </c>
      <c r="C326">
        <v>5</v>
      </c>
      <c r="D326">
        <v>0</v>
      </c>
    </row>
    <row r="327" spans="1:4" x14ac:dyDescent="0.3">
      <c r="A327">
        <v>6</v>
      </c>
      <c r="B327">
        <v>33</v>
      </c>
      <c r="C327">
        <v>6</v>
      </c>
      <c r="D327">
        <v>0</v>
      </c>
    </row>
    <row r="328" spans="1:4" x14ac:dyDescent="0.3">
      <c r="A328">
        <v>6</v>
      </c>
      <c r="B328">
        <v>33</v>
      </c>
      <c r="C328">
        <v>7</v>
      </c>
      <c r="D328">
        <v>0</v>
      </c>
    </row>
    <row r="329" spans="1:4" x14ac:dyDescent="0.3">
      <c r="A329">
        <v>6</v>
      </c>
      <c r="B329">
        <v>33</v>
      </c>
      <c r="C329">
        <v>8</v>
      </c>
      <c r="D329">
        <v>0</v>
      </c>
    </row>
    <row r="330" spans="1:4" x14ac:dyDescent="0.3">
      <c r="A330">
        <v>6</v>
      </c>
      <c r="B330">
        <v>33</v>
      </c>
      <c r="C330">
        <v>9</v>
      </c>
      <c r="D330">
        <v>0</v>
      </c>
    </row>
    <row r="331" spans="1:4" x14ac:dyDescent="0.3">
      <c r="A331">
        <v>6</v>
      </c>
      <c r="B331">
        <v>33</v>
      </c>
      <c r="C331">
        <v>10</v>
      </c>
      <c r="D331">
        <v>0.44500000000000028</v>
      </c>
    </row>
    <row r="332" spans="1:4" x14ac:dyDescent="0.3">
      <c r="A332">
        <v>6</v>
      </c>
      <c r="B332">
        <v>34</v>
      </c>
      <c r="C332">
        <v>1</v>
      </c>
      <c r="D332">
        <v>0</v>
      </c>
    </row>
    <row r="333" spans="1:4" x14ac:dyDescent="0.3">
      <c r="A333">
        <v>6</v>
      </c>
      <c r="B333">
        <v>34</v>
      </c>
      <c r="C333">
        <v>2</v>
      </c>
      <c r="D333">
        <v>0</v>
      </c>
    </row>
    <row r="334" spans="1:4" x14ac:dyDescent="0.3">
      <c r="A334">
        <v>6</v>
      </c>
      <c r="B334">
        <v>34</v>
      </c>
      <c r="C334">
        <v>3</v>
      </c>
      <c r="D334">
        <v>0</v>
      </c>
    </row>
    <row r="335" spans="1:4" x14ac:dyDescent="0.3">
      <c r="A335">
        <v>6</v>
      </c>
      <c r="B335">
        <v>34</v>
      </c>
      <c r="C335">
        <v>4</v>
      </c>
      <c r="D335">
        <v>0</v>
      </c>
    </row>
    <row r="336" spans="1:4" x14ac:dyDescent="0.3">
      <c r="A336">
        <v>6</v>
      </c>
      <c r="B336">
        <v>34</v>
      </c>
      <c r="C336">
        <v>5</v>
      </c>
      <c r="D336">
        <v>0</v>
      </c>
    </row>
    <row r="337" spans="1:4" x14ac:dyDescent="0.3">
      <c r="A337">
        <v>6</v>
      </c>
      <c r="B337">
        <v>34</v>
      </c>
      <c r="C337">
        <v>6</v>
      </c>
      <c r="D337">
        <v>0</v>
      </c>
    </row>
    <row r="338" spans="1:4" x14ac:dyDescent="0.3">
      <c r="A338">
        <v>6</v>
      </c>
      <c r="B338">
        <v>34</v>
      </c>
      <c r="C338">
        <v>7</v>
      </c>
      <c r="D338">
        <v>0</v>
      </c>
    </row>
    <row r="339" spans="1:4" x14ac:dyDescent="0.3">
      <c r="A339">
        <v>6</v>
      </c>
      <c r="B339">
        <v>34</v>
      </c>
      <c r="C339">
        <v>8</v>
      </c>
      <c r="D339">
        <v>2.0799999999999779</v>
      </c>
    </row>
    <row r="340" spans="1:4" x14ac:dyDescent="0.3">
      <c r="A340">
        <v>6</v>
      </c>
      <c r="B340">
        <v>34</v>
      </c>
      <c r="C340">
        <v>9</v>
      </c>
      <c r="D340">
        <v>0.33500000000000019</v>
      </c>
    </row>
    <row r="341" spans="1:4" x14ac:dyDescent="0.3">
      <c r="A341">
        <v>6</v>
      </c>
      <c r="B341">
        <v>34</v>
      </c>
      <c r="C341">
        <v>10</v>
      </c>
      <c r="D341">
        <v>0</v>
      </c>
    </row>
    <row r="342" spans="1:4" x14ac:dyDescent="0.3">
      <c r="A342">
        <v>7</v>
      </c>
      <c r="B342">
        <v>35</v>
      </c>
      <c r="C342">
        <v>1</v>
      </c>
      <c r="D342">
        <v>0</v>
      </c>
    </row>
    <row r="343" spans="1:4" x14ac:dyDescent="0.3">
      <c r="A343">
        <v>7</v>
      </c>
      <c r="B343">
        <v>35</v>
      </c>
      <c r="C343">
        <v>2</v>
      </c>
      <c r="D343">
        <v>0</v>
      </c>
    </row>
    <row r="344" spans="1:4" x14ac:dyDescent="0.3">
      <c r="A344">
        <v>7</v>
      </c>
      <c r="B344">
        <v>35</v>
      </c>
      <c r="C344">
        <v>3</v>
      </c>
      <c r="D344">
        <v>0</v>
      </c>
    </row>
    <row r="345" spans="1:4" x14ac:dyDescent="0.3">
      <c r="A345">
        <v>7</v>
      </c>
      <c r="B345">
        <v>35</v>
      </c>
      <c r="C345">
        <v>4</v>
      </c>
      <c r="D345">
        <v>0</v>
      </c>
    </row>
    <row r="346" spans="1:4" x14ac:dyDescent="0.3">
      <c r="A346">
        <v>7</v>
      </c>
      <c r="B346">
        <v>35</v>
      </c>
      <c r="C346">
        <v>5</v>
      </c>
      <c r="D346">
        <v>0</v>
      </c>
    </row>
    <row r="347" spans="1:4" x14ac:dyDescent="0.3">
      <c r="A347">
        <v>7</v>
      </c>
      <c r="B347">
        <v>35</v>
      </c>
      <c r="C347">
        <v>6</v>
      </c>
      <c r="D347">
        <v>0</v>
      </c>
    </row>
    <row r="348" spans="1:4" x14ac:dyDescent="0.3">
      <c r="A348">
        <v>7</v>
      </c>
      <c r="B348">
        <v>35</v>
      </c>
      <c r="C348">
        <v>7</v>
      </c>
      <c r="D348">
        <v>0</v>
      </c>
    </row>
    <row r="349" spans="1:4" x14ac:dyDescent="0.3">
      <c r="A349">
        <v>7</v>
      </c>
      <c r="B349">
        <v>35</v>
      </c>
      <c r="C349">
        <v>8</v>
      </c>
      <c r="D349">
        <v>0.09</v>
      </c>
    </row>
    <row r="350" spans="1:4" x14ac:dyDescent="0.3">
      <c r="A350">
        <v>7</v>
      </c>
      <c r="B350">
        <v>35</v>
      </c>
      <c r="C350">
        <v>9</v>
      </c>
      <c r="D350">
        <v>0</v>
      </c>
    </row>
    <row r="351" spans="1:4" x14ac:dyDescent="0.3">
      <c r="A351">
        <v>7</v>
      </c>
      <c r="B351">
        <v>35</v>
      </c>
      <c r="C351">
        <v>10</v>
      </c>
      <c r="D351">
        <v>0</v>
      </c>
    </row>
    <row r="352" spans="1:4" x14ac:dyDescent="0.3">
      <c r="A352">
        <v>7</v>
      </c>
      <c r="B352">
        <v>36</v>
      </c>
      <c r="C352">
        <v>1</v>
      </c>
      <c r="D352">
        <v>0</v>
      </c>
    </row>
    <row r="353" spans="1:4" x14ac:dyDescent="0.3">
      <c r="A353">
        <v>7</v>
      </c>
      <c r="B353">
        <v>36</v>
      </c>
      <c r="C353">
        <v>2</v>
      </c>
      <c r="D353">
        <v>0</v>
      </c>
    </row>
    <row r="354" spans="1:4" x14ac:dyDescent="0.3">
      <c r="A354">
        <v>7</v>
      </c>
      <c r="B354">
        <v>36</v>
      </c>
      <c r="C354">
        <v>3</v>
      </c>
      <c r="D354">
        <v>0</v>
      </c>
    </row>
    <row r="355" spans="1:4" x14ac:dyDescent="0.3">
      <c r="A355">
        <v>7</v>
      </c>
      <c r="B355">
        <v>36</v>
      </c>
      <c r="C355">
        <v>4</v>
      </c>
      <c r="D355">
        <v>0</v>
      </c>
    </row>
    <row r="356" spans="1:4" x14ac:dyDescent="0.3">
      <c r="A356">
        <v>7</v>
      </c>
      <c r="B356">
        <v>36</v>
      </c>
      <c r="C356">
        <v>5</v>
      </c>
      <c r="D356">
        <v>0</v>
      </c>
    </row>
    <row r="357" spans="1:4" x14ac:dyDescent="0.3">
      <c r="A357">
        <v>7</v>
      </c>
      <c r="B357">
        <v>36</v>
      </c>
      <c r="C357">
        <v>6</v>
      </c>
      <c r="D357">
        <v>0</v>
      </c>
    </row>
    <row r="358" spans="1:4" x14ac:dyDescent="0.3">
      <c r="A358">
        <v>7</v>
      </c>
      <c r="B358">
        <v>36</v>
      </c>
      <c r="C358">
        <v>7</v>
      </c>
      <c r="D358">
        <v>0</v>
      </c>
    </row>
    <row r="359" spans="1:4" x14ac:dyDescent="0.3">
      <c r="A359">
        <v>7</v>
      </c>
      <c r="B359">
        <v>36</v>
      </c>
      <c r="C359">
        <v>8</v>
      </c>
      <c r="D359">
        <v>0</v>
      </c>
    </row>
    <row r="360" spans="1:4" x14ac:dyDescent="0.3">
      <c r="A360">
        <v>7</v>
      </c>
      <c r="B360">
        <v>36</v>
      </c>
      <c r="C360">
        <v>9</v>
      </c>
      <c r="D360">
        <v>0</v>
      </c>
    </row>
    <row r="361" spans="1:4" x14ac:dyDescent="0.3">
      <c r="A361">
        <v>7</v>
      </c>
      <c r="B361">
        <v>36</v>
      </c>
      <c r="C361">
        <v>10</v>
      </c>
      <c r="D361">
        <v>0</v>
      </c>
    </row>
    <row r="362" spans="1:4" x14ac:dyDescent="0.3">
      <c r="A362">
        <v>7</v>
      </c>
      <c r="B362">
        <v>37</v>
      </c>
      <c r="C362">
        <v>1</v>
      </c>
      <c r="D362">
        <v>0</v>
      </c>
    </row>
    <row r="363" spans="1:4" x14ac:dyDescent="0.3">
      <c r="A363">
        <v>7</v>
      </c>
      <c r="B363">
        <v>37</v>
      </c>
      <c r="C363">
        <v>2</v>
      </c>
      <c r="D363">
        <v>0</v>
      </c>
    </row>
    <row r="364" spans="1:4" x14ac:dyDescent="0.3">
      <c r="A364">
        <v>7</v>
      </c>
      <c r="B364">
        <v>37</v>
      </c>
      <c r="C364">
        <v>3</v>
      </c>
      <c r="D364">
        <v>0</v>
      </c>
    </row>
    <row r="365" spans="1:4" x14ac:dyDescent="0.3">
      <c r="A365">
        <v>7</v>
      </c>
      <c r="B365">
        <v>37</v>
      </c>
      <c r="C365">
        <v>4</v>
      </c>
      <c r="D365">
        <v>0</v>
      </c>
    </row>
    <row r="366" spans="1:4" x14ac:dyDescent="0.3">
      <c r="A366">
        <v>7</v>
      </c>
      <c r="B366">
        <v>37</v>
      </c>
      <c r="C366">
        <v>5</v>
      </c>
      <c r="D366">
        <v>0</v>
      </c>
    </row>
    <row r="367" spans="1:4" x14ac:dyDescent="0.3">
      <c r="A367">
        <v>7</v>
      </c>
      <c r="B367">
        <v>37</v>
      </c>
      <c r="C367">
        <v>6</v>
      </c>
      <c r="D367">
        <v>0</v>
      </c>
    </row>
    <row r="368" spans="1:4" x14ac:dyDescent="0.3">
      <c r="A368">
        <v>7</v>
      </c>
      <c r="B368">
        <v>37</v>
      </c>
      <c r="C368">
        <v>7</v>
      </c>
      <c r="D368">
        <v>0</v>
      </c>
    </row>
    <row r="369" spans="1:4" x14ac:dyDescent="0.3">
      <c r="A369">
        <v>7</v>
      </c>
      <c r="B369">
        <v>37</v>
      </c>
      <c r="C369">
        <v>8</v>
      </c>
      <c r="D369">
        <v>0</v>
      </c>
    </row>
    <row r="370" spans="1:4" x14ac:dyDescent="0.3">
      <c r="A370">
        <v>7</v>
      </c>
      <c r="B370">
        <v>37</v>
      </c>
      <c r="C370">
        <v>9</v>
      </c>
      <c r="D370">
        <v>0</v>
      </c>
    </row>
    <row r="371" spans="1:4" x14ac:dyDescent="0.3">
      <c r="A371">
        <v>7</v>
      </c>
      <c r="B371">
        <v>37</v>
      </c>
      <c r="C371">
        <v>10</v>
      </c>
      <c r="D371">
        <v>0</v>
      </c>
    </row>
    <row r="372" spans="1:4" x14ac:dyDescent="0.3">
      <c r="A372">
        <v>7</v>
      </c>
      <c r="B372">
        <v>38</v>
      </c>
      <c r="C372">
        <v>1</v>
      </c>
      <c r="D372">
        <v>0</v>
      </c>
    </row>
    <row r="373" spans="1:4" x14ac:dyDescent="0.3">
      <c r="A373">
        <v>7</v>
      </c>
      <c r="B373">
        <v>38</v>
      </c>
      <c r="C373">
        <v>2</v>
      </c>
      <c r="D373">
        <v>0</v>
      </c>
    </row>
    <row r="374" spans="1:4" x14ac:dyDescent="0.3">
      <c r="A374">
        <v>7</v>
      </c>
      <c r="B374">
        <v>38</v>
      </c>
      <c r="C374">
        <v>3</v>
      </c>
      <c r="D374">
        <v>0</v>
      </c>
    </row>
    <row r="375" spans="1:4" x14ac:dyDescent="0.3">
      <c r="A375">
        <v>7</v>
      </c>
      <c r="B375">
        <v>38</v>
      </c>
      <c r="C375">
        <v>4</v>
      </c>
      <c r="D375">
        <v>0</v>
      </c>
    </row>
    <row r="376" spans="1:4" x14ac:dyDescent="0.3">
      <c r="A376">
        <v>7</v>
      </c>
      <c r="B376">
        <v>38</v>
      </c>
      <c r="C376">
        <v>5</v>
      </c>
      <c r="D376">
        <v>7.0000000000000007E-2</v>
      </c>
    </row>
    <row r="377" spans="1:4" x14ac:dyDescent="0.3">
      <c r="A377">
        <v>7</v>
      </c>
      <c r="B377">
        <v>38</v>
      </c>
      <c r="C377">
        <v>6</v>
      </c>
      <c r="D377">
        <v>0</v>
      </c>
    </row>
    <row r="378" spans="1:4" x14ac:dyDescent="0.3">
      <c r="A378">
        <v>7</v>
      </c>
      <c r="B378">
        <v>38</v>
      </c>
      <c r="C378">
        <v>7</v>
      </c>
      <c r="D378">
        <v>0</v>
      </c>
    </row>
    <row r="379" spans="1:4" x14ac:dyDescent="0.3">
      <c r="A379">
        <v>7</v>
      </c>
      <c r="B379">
        <v>38</v>
      </c>
      <c r="C379">
        <v>8</v>
      </c>
      <c r="D379">
        <v>0</v>
      </c>
    </row>
    <row r="380" spans="1:4" x14ac:dyDescent="0.3">
      <c r="A380">
        <v>7</v>
      </c>
      <c r="B380">
        <v>38</v>
      </c>
      <c r="C380">
        <v>9</v>
      </c>
      <c r="D380">
        <v>0</v>
      </c>
    </row>
    <row r="381" spans="1:4" x14ac:dyDescent="0.3">
      <c r="A381">
        <v>7</v>
      </c>
      <c r="B381">
        <v>38</v>
      </c>
      <c r="C381">
        <v>10</v>
      </c>
      <c r="D381">
        <v>0</v>
      </c>
    </row>
    <row r="382" spans="1:4" x14ac:dyDescent="0.3">
      <c r="A382">
        <v>7</v>
      </c>
      <c r="B382">
        <v>39</v>
      </c>
      <c r="C382">
        <v>1</v>
      </c>
      <c r="D382">
        <v>0</v>
      </c>
    </row>
    <row r="383" spans="1:4" x14ac:dyDescent="0.3">
      <c r="A383">
        <v>7</v>
      </c>
      <c r="B383">
        <v>39</v>
      </c>
      <c r="C383">
        <v>2</v>
      </c>
      <c r="D383">
        <v>0</v>
      </c>
    </row>
    <row r="384" spans="1:4" x14ac:dyDescent="0.3">
      <c r="A384">
        <v>7</v>
      </c>
      <c r="B384">
        <v>39</v>
      </c>
      <c r="C384">
        <v>3</v>
      </c>
      <c r="D384">
        <v>0</v>
      </c>
    </row>
    <row r="385" spans="1:4" x14ac:dyDescent="0.3">
      <c r="A385">
        <v>7</v>
      </c>
      <c r="B385">
        <v>39</v>
      </c>
      <c r="C385">
        <v>4</v>
      </c>
      <c r="D385">
        <v>0</v>
      </c>
    </row>
    <row r="386" spans="1:4" x14ac:dyDescent="0.3">
      <c r="A386">
        <v>7</v>
      </c>
      <c r="B386">
        <v>39</v>
      </c>
      <c r="C386">
        <v>5</v>
      </c>
      <c r="D386">
        <v>0.41500000000000026</v>
      </c>
    </row>
    <row r="387" spans="1:4" x14ac:dyDescent="0.3">
      <c r="A387">
        <v>7</v>
      </c>
      <c r="B387">
        <v>39</v>
      </c>
      <c r="C387">
        <v>6</v>
      </c>
      <c r="D387">
        <v>0</v>
      </c>
    </row>
    <row r="388" spans="1:4" x14ac:dyDescent="0.3">
      <c r="A388">
        <v>7</v>
      </c>
      <c r="B388">
        <v>39</v>
      </c>
      <c r="C388">
        <v>7</v>
      </c>
      <c r="D388">
        <v>0</v>
      </c>
    </row>
    <row r="389" spans="1:4" x14ac:dyDescent="0.3">
      <c r="A389">
        <v>7</v>
      </c>
      <c r="B389">
        <v>39</v>
      </c>
      <c r="C389">
        <v>8</v>
      </c>
      <c r="D389">
        <v>0</v>
      </c>
    </row>
    <row r="390" spans="1:4" x14ac:dyDescent="0.3">
      <c r="A390">
        <v>7</v>
      </c>
      <c r="B390">
        <v>39</v>
      </c>
      <c r="C390">
        <v>9</v>
      </c>
      <c r="D390">
        <v>0</v>
      </c>
    </row>
    <row r="391" spans="1:4" x14ac:dyDescent="0.3">
      <c r="A391">
        <v>7</v>
      </c>
      <c r="B391">
        <v>39</v>
      </c>
      <c r="C391">
        <v>10</v>
      </c>
      <c r="D391">
        <v>0</v>
      </c>
    </row>
    <row r="392" spans="1:4" x14ac:dyDescent="0.3">
      <c r="A392">
        <v>7</v>
      </c>
      <c r="B392">
        <v>40</v>
      </c>
      <c r="C392">
        <v>1</v>
      </c>
      <c r="D392">
        <v>1.6199999999999875</v>
      </c>
    </row>
    <row r="393" spans="1:4" x14ac:dyDescent="0.3">
      <c r="A393">
        <v>7</v>
      </c>
      <c r="B393">
        <v>40</v>
      </c>
      <c r="C393">
        <v>2</v>
      </c>
      <c r="D393">
        <v>1.1949999999999965</v>
      </c>
    </row>
    <row r="394" spans="1:4" x14ac:dyDescent="0.3">
      <c r="A394">
        <v>7</v>
      </c>
      <c r="B394">
        <v>40</v>
      </c>
      <c r="C394">
        <v>3</v>
      </c>
      <c r="D394">
        <v>0</v>
      </c>
    </row>
    <row r="395" spans="1:4" x14ac:dyDescent="0.3">
      <c r="A395">
        <v>7</v>
      </c>
      <c r="B395">
        <v>40</v>
      </c>
      <c r="C395">
        <v>4</v>
      </c>
      <c r="D395">
        <v>0</v>
      </c>
    </row>
    <row r="396" spans="1:4" x14ac:dyDescent="0.3">
      <c r="A396">
        <v>7</v>
      </c>
      <c r="B396">
        <v>40</v>
      </c>
      <c r="C396">
        <v>5</v>
      </c>
      <c r="D396">
        <v>0</v>
      </c>
    </row>
    <row r="397" spans="1:4" x14ac:dyDescent="0.3">
      <c r="A397">
        <v>7</v>
      </c>
      <c r="B397">
        <v>40</v>
      </c>
      <c r="C397">
        <v>6</v>
      </c>
      <c r="D397">
        <v>0</v>
      </c>
    </row>
    <row r="398" spans="1:4" x14ac:dyDescent="0.3">
      <c r="A398">
        <v>7</v>
      </c>
      <c r="B398">
        <v>40</v>
      </c>
      <c r="C398">
        <v>7</v>
      </c>
      <c r="D398">
        <v>0</v>
      </c>
    </row>
    <row r="399" spans="1:4" x14ac:dyDescent="0.3">
      <c r="A399">
        <v>7</v>
      </c>
      <c r="B399">
        <v>40</v>
      </c>
      <c r="C399">
        <v>8</v>
      </c>
      <c r="D399">
        <v>0.14499999999999999</v>
      </c>
    </row>
    <row r="400" spans="1:4" x14ac:dyDescent="0.3">
      <c r="A400">
        <v>7</v>
      </c>
      <c r="B400">
        <v>40</v>
      </c>
      <c r="C400">
        <v>9</v>
      </c>
      <c r="D400">
        <v>0</v>
      </c>
    </row>
    <row r="401" spans="1:4" x14ac:dyDescent="0.3">
      <c r="A401">
        <v>7</v>
      </c>
      <c r="B401">
        <v>40</v>
      </c>
      <c r="C401">
        <v>10</v>
      </c>
      <c r="D401">
        <v>0</v>
      </c>
    </row>
    <row r="402" spans="1:4" x14ac:dyDescent="0.3">
      <c r="A402">
        <v>7</v>
      </c>
      <c r="B402">
        <v>41</v>
      </c>
      <c r="C402">
        <v>1</v>
      </c>
      <c r="D402">
        <v>0</v>
      </c>
    </row>
    <row r="403" spans="1:4" x14ac:dyDescent="0.3">
      <c r="A403">
        <v>7</v>
      </c>
      <c r="B403">
        <v>41</v>
      </c>
      <c r="C403">
        <v>2</v>
      </c>
      <c r="D403">
        <v>0</v>
      </c>
    </row>
    <row r="404" spans="1:4" x14ac:dyDescent="0.3">
      <c r="A404">
        <v>7</v>
      </c>
      <c r="B404">
        <v>41</v>
      </c>
      <c r="C404">
        <v>3</v>
      </c>
      <c r="D404">
        <v>0</v>
      </c>
    </row>
    <row r="405" spans="1:4" x14ac:dyDescent="0.3">
      <c r="A405">
        <v>7</v>
      </c>
      <c r="B405">
        <v>41</v>
      </c>
      <c r="C405">
        <v>4</v>
      </c>
      <c r="D405">
        <v>0</v>
      </c>
    </row>
    <row r="406" spans="1:4" x14ac:dyDescent="0.3">
      <c r="A406">
        <v>7</v>
      </c>
      <c r="B406">
        <v>41</v>
      </c>
      <c r="C406">
        <v>5</v>
      </c>
      <c r="D406">
        <v>0</v>
      </c>
    </row>
    <row r="407" spans="1:4" x14ac:dyDescent="0.3">
      <c r="A407">
        <v>7</v>
      </c>
      <c r="B407">
        <v>41</v>
      </c>
      <c r="C407">
        <v>6</v>
      </c>
      <c r="D407">
        <v>0</v>
      </c>
    </row>
    <row r="408" spans="1:4" x14ac:dyDescent="0.3">
      <c r="A408">
        <v>7</v>
      </c>
      <c r="B408">
        <v>41</v>
      </c>
      <c r="C408">
        <v>7</v>
      </c>
      <c r="D408">
        <v>0</v>
      </c>
    </row>
    <row r="409" spans="1:4" x14ac:dyDescent="0.3">
      <c r="A409">
        <v>7</v>
      </c>
      <c r="B409">
        <v>41</v>
      </c>
      <c r="C409">
        <v>8</v>
      </c>
      <c r="D409">
        <v>0</v>
      </c>
    </row>
    <row r="410" spans="1:4" x14ac:dyDescent="0.3">
      <c r="A410">
        <v>7</v>
      </c>
      <c r="B410">
        <v>41</v>
      </c>
      <c r="C410">
        <v>9</v>
      </c>
      <c r="D410">
        <v>5.0000000000000001E-3</v>
      </c>
    </row>
    <row r="411" spans="1:4" x14ac:dyDescent="0.3">
      <c r="A411">
        <v>7</v>
      </c>
      <c r="B411">
        <v>41</v>
      </c>
      <c r="C411">
        <v>10</v>
      </c>
      <c r="D411">
        <v>0</v>
      </c>
    </row>
    <row r="412" spans="1:4" x14ac:dyDescent="0.3">
      <c r="A412">
        <v>7</v>
      </c>
      <c r="B412">
        <v>42</v>
      </c>
      <c r="C412">
        <v>1</v>
      </c>
      <c r="D412">
        <v>0.26000000000000012</v>
      </c>
    </row>
    <row r="413" spans="1:4" x14ac:dyDescent="0.3">
      <c r="A413">
        <v>7</v>
      </c>
      <c r="B413">
        <v>42</v>
      </c>
      <c r="C413">
        <v>2</v>
      </c>
      <c r="D413">
        <v>1.3399999999999934</v>
      </c>
    </row>
    <row r="414" spans="1:4" x14ac:dyDescent="0.3">
      <c r="A414">
        <v>7</v>
      </c>
      <c r="B414">
        <v>42</v>
      </c>
      <c r="C414">
        <v>3</v>
      </c>
      <c r="D414">
        <v>0</v>
      </c>
    </row>
    <row r="415" spans="1:4" x14ac:dyDescent="0.3">
      <c r="A415">
        <v>7</v>
      </c>
      <c r="B415">
        <v>42</v>
      </c>
      <c r="C415">
        <v>4</v>
      </c>
      <c r="D415">
        <v>0.01</v>
      </c>
    </row>
    <row r="416" spans="1:4" x14ac:dyDescent="0.3">
      <c r="A416">
        <v>7</v>
      </c>
      <c r="B416">
        <v>42</v>
      </c>
      <c r="C416">
        <v>5</v>
      </c>
      <c r="D416">
        <v>0</v>
      </c>
    </row>
    <row r="417" spans="1:4" x14ac:dyDescent="0.3">
      <c r="A417">
        <v>7</v>
      </c>
      <c r="B417">
        <v>42</v>
      </c>
      <c r="C417">
        <v>6</v>
      </c>
      <c r="D417">
        <v>0</v>
      </c>
    </row>
    <row r="418" spans="1:4" x14ac:dyDescent="0.3">
      <c r="A418">
        <v>7</v>
      </c>
      <c r="B418">
        <v>42</v>
      </c>
      <c r="C418">
        <v>7</v>
      </c>
      <c r="D418">
        <v>0</v>
      </c>
    </row>
    <row r="419" spans="1:4" x14ac:dyDescent="0.3">
      <c r="A419">
        <v>7</v>
      </c>
      <c r="B419">
        <v>42</v>
      </c>
      <c r="C419">
        <v>8</v>
      </c>
      <c r="D419">
        <v>0</v>
      </c>
    </row>
    <row r="420" spans="1:4" x14ac:dyDescent="0.3">
      <c r="A420">
        <v>7</v>
      </c>
      <c r="B420">
        <v>42</v>
      </c>
      <c r="C420">
        <v>9</v>
      </c>
      <c r="D420">
        <v>0.48000000000000026</v>
      </c>
    </row>
    <row r="421" spans="1:4" x14ac:dyDescent="0.3">
      <c r="A421">
        <v>7</v>
      </c>
      <c r="B421">
        <v>42</v>
      </c>
      <c r="C421">
        <v>10</v>
      </c>
      <c r="D421">
        <v>4.4999999999999998E-2</v>
      </c>
    </row>
    <row r="422" spans="1:4" x14ac:dyDescent="0.3">
      <c r="A422">
        <v>7</v>
      </c>
      <c r="B422">
        <v>43</v>
      </c>
      <c r="C422">
        <v>1</v>
      </c>
      <c r="D422">
        <v>0</v>
      </c>
    </row>
    <row r="423" spans="1:4" x14ac:dyDescent="0.3">
      <c r="A423">
        <v>7</v>
      </c>
      <c r="B423">
        <v>43</v>
      </c>
      <c r="C423">
        <v>2</v>
      </c>
      <c r="D423">
        <v>0</v>
      </c>
    </row>
    <row r="424" spans="1:4" x14ac:dyDescent="0.3">
      <c r="A424">
        <v>7</v>
      </c>
      <c r="B424">
        <v>43</v>
      </c>
      <c r="C424">
        <v>3</v>
      </c>
      <c r="D424">
        <v>0</v>
      </c>
    </row>
    <row r="425" spans="1:4" x14ac:dyDescent="0.3">
      <c r="A425">
        <v>7</v>
      </c>
      <c r="B425">
        <v>43</v>
      </c>
      <c r="C425">
        <v>4</v>
      </c>
      <c r="D425">
        <v>0</v>
      </c>
    </row>
    <row r="426" spans="1:4" x14ac:dyDescent="0.3">
      <c r="A426">
        <v>7</v>
      </c>
      <c r="B426">
        <v>43</v>
      </c>
      <c r="C426">
        <v>5</v>
      </c>
      <c r="D426">
        <v>0.14500000000000005</v>
      </c>
    </row>
    <row r="427" spans="1:4" x14ac:dyDescent="0.3">
      <c r="A427">
        <v>7</v>
      </c>
      <c r="B427">
        <v>43</v>
      </c>
      <c r="C427">
        <v>6</v>
      </c>
      <c r="D427">
        <v>0</v>
      </c>
    </row>
    <row r="428" spans="1:4" x14ac:dyDescent="0.3">
      <c r="A428">
        <v>7</v>
      </c>
      <c r="B428">
        <v>43</v>
      </c>
      <c r="C428">
        <v>7</v>
      </c>
      <c r="D428">
        <v>0.5700000000000004</v>
      </c>
    </row>
    <row r="429" spans="1:4" x14ac:dyDescent="0.3">
      <c r="A429">
        <v>7</v>
      </c>
      <c r="B429">
        <v>43</v>
      </c>
      <c r="C429">
        <v>8</v>
      </c>
      <c r="D429">
        <v>0.16000000000000006</v>
      </c>
    </row>
    <row r="430" spans="1:4" x14ac:dyDescent="0.3">
      <c r="A430">
        <v>7</v>
      </c>
      <c r="B430">
        <v>43</v>
      </c>
      <c r="C430">
        <v>9</v>
      </c>
      <c r="D430">
        <v>0</v>
      </c>
    </row>
    <row r="431" spans="1:4" x14ac:dyDescent="0.3">
      <c r="A431">
        <v>7</v>
      </c>
      <c r="B431">
        <v>43</v>
      </c>
      <c r="C431">
        <v>10</v>
      </c>
      <c r="D431">
        <v>0</v>
      </c>
    </row>
    <row r="432" spans="1:4" x14ac:dyDescent="0.3">
      <c r="A432">
        <v>7</v>
      </c>
      <c r="B432">
        <v>44</v>
      </c>
      <c r="C432">
        <v>1</v>
      </c>
      <c r="D432">
        <v>0</v>
      </c>
    </row>
    <row r="433" spans="1:4" x14ac:dyDescent="0.3">
      <c r="A433">
        <v>7</v>
      </c>
      <c r="B433">
        <v>44</v>
      </c>
      <c r="C433">
        <v>2</v>
      </c>
      <c r="D433">
        <v>0.10000000000000002</v>
      </c>
    </row>
    <row r="434" spans="1:4" x14ac:dyDescent="0.3">
      <c r="A434">
        <v>7</v>
      </c>
      <c r="B434">
        <v>44</v>
      </c>
      <c r="C434">
        <v>3</v>
      </c>
      <c r="D434">
        <v>0</v>
      </c>
    </row>
    <row r="435" spans="1:4" x14ac:dyDescent="0.3">
      <c r="A435">
        <v>7</v>
      </c>
      <c r="B435">
        <v>44</v>
      </c>
      <c r="C435">
        <v>4</v>
      </c>
      <c r="D435">
        <v>0</v>
      </c>
    </row>
    <row r="436" spans="1:4" x14ac:dyDescent="0.3">
      <c r="A436">
        <v>7</v>
      </c>
      <c r="B436">
        <v>44</v>
      </c>
      <c r="C436">
        <v>5</v>
      </c>
      <c r="D436">
        <v>0</v>
      </c>
    </row>
    <row r="437" spans="1:4" x14ac:dyDescent="0.3">
      <c r="A437">
        <v>7</v>
      </c>
      <c r="B437">
        <v>44</v>
      </c>
      <c r="C437">
        <v>6</v>
      </c>
      <c r="D437">
        <v>0</v>
      </c>
    </row>
    <row r="438" spans="1:4" x14ac:dyDescent="0.3">
      <c r="A438">
        <v>7</v>
      </c>
      <c r="B438">
        <v>44</v>
      </c>
      <c r="C438">
        <v>7</v>
      </c>
      <c r="D438">
        <v>0</v>
      </c>
    </row>
    <row r="439" spans="1:4" x14ac:dyDescent="0.3">
      <c r="A439">
        <v>7</v>
      </c>
      <c r="B439">
        <v>44</v>
      </c>
      <c r="C439">
        <v>8</v>
      </c>
      <c r="D439">
        <v>0</v>
      </c>
    </row>
    <row r="440" spans="1:4" x14ac:dyDescent="0.3">
      <c r="A440">
        <v>7</v>
      </c>
      <c r="B440">
        <v>44</v>
      </c>
      <c r="C440">
        <v>9</v>
      </c>
      <c r="D440">
        <v>0.97500000000000064</v>
      </c>
    </row>
    <row r="441" spans="1:4" x14ac:dyDescent="0.3">
      <c r="A441">
        <v>7</v>
      </c>
      <c r="B441">
        <v>44</v>
      </c>
      <c r="C441">
        <v>10</v>
      </c>
      <c r="D441">
        <v>0</v>
      </c>
    </row>
    <row r="442" spans="1:4" x14ac:dyDescent="0.3">
      <c r="A442">
        <v>7</v>
      </c>
      <c r="B442">
        <v>45</v>
      </c>
      <c r="C442">
        <v>1</v>
      </c>
      <c r="D442">
        <v>0.98000000000000065</v>
      </c>
    </row>
    <row r="443" spans="1:4" x14ac:dyDescent="0.3">
      <c r="A443">
        <v>7</v>
      </c>
      <c r="B443">
        <v>45</v>
      </c>
      <c r="C443">
        <v>2</v>
      </c>
      <c r="D443">
        <v>0</v>
      </c>
    </row>
    <row r="444" spans="1:4" x14ac:dyDescent="0.3">
      <c r="A444">
        <v>7</v>
      </c>
      <c r="B444">
        <v>45</v>
      </c>
      <c r="C444">
        <v>3</v>
      </c>
      <c r="D444">
        <v>0</v>
      </c>
    </row>
    <row r="445" spans="1:4" x14ac:dyDescent="0.3">
      <c r="A445">
        <v>7</v>
      </c>
      <c r="B445">
        <v>45</v>
      </c>
      <c r="C445">
        <v>4</v>
      </c>
      <c r="D445">
        <v>0</v>
      </c>
    </row>
    <row r="446" spans="1:4" x14ac:dyDescent="0.3">
      <c r="A446">
        <v>7</v>
      </c>
      <c r="B446">
        <v>45</v>
      </c>
      <c r="C446">
        <v>5</v>
      </c>
      <c r="D446">
        <v>0</v>
      </c>
    </row>
    <row r="447" spans="1:4" x14ac:dyDescent="0.3">
      <c r="A447">
        <v>7</v>
      </c>
      <c r="B447">
        <v>45</v>
      </c>
      <c r="C447">
        <v>6</v>
      </c>
      <c r="D447">
        <v>0</v>
      </c>
    </row>
    <row r="448" spans="1:4" x14ac:dyDescent="0.3">
      <c r="A448">
        <v>7</v>
      </c>
      <c r="B448">
        <v>45</v>
      </c>
      <c r="C448">
        <v>7</v>
      </c>
      <c r="D448">
        <v>0</v>
      </c>
    </row>
    <row r="449" spans="1:4" x14ac:dyDescent="0.3">
      <c r="A449">
        <v>7</v>
      </c>
      <c r="B449">
        <v>45</v>
      </c>
      <c r="C449">
        <v>8</v>
      </c>
      <c r="D449">
        <v>0</v>
      </c>
    </row>
    <row r="450" spans="1:4" x14ac:dyDescent="0.3">
      <c r="A450">
        <v>7</v>
      </c>
      <c r="B450">
        <v>45</v>
      </c>
      <c r="C450">
        <v>9</v>
      </c>
      <c r="D450">
        <v>0</v>
      </c>
    </row>
    <row r="451" spans="1:4" x14ac:dyDescent="0.3">
      <c r="A451">
        <v>7</v>
      </c>
      <c r="B451">
        <v>45</v>
      </c>
      <c r="C451">
        <v>10</v>
      </c>
      <c r="D451">
        <v>0</v>
      </c>
    </row>
    <row r="452" spans="1:4" x14ac:dyDescent="0.3">
      <c r="A452">
        <v>8</v>
      </c>
      <c r="B452">
        <v>46</v>
      </c>
      <c r="C452">
        <v>1</v>
      </c>
      <c r="D452">
        <v>0</v>
      </c>
    </row>
    <row r="453" spans="1:4" x14ac:dyDescent="0.3">
      <c r="A453">
        <v>8</v>
      </c>
      <c r="B453">
        <v>46</v>
      </c>
      <c r="C453">
        <v>2</v>
      </c>
      <c r="D453">
        <v>0</v>
      </c>
    </row>
    <row r="454" spans="1:4" x14ac:dyDescent="0.3">
      <c r="A454">
        <v>8</v>
      </c>
      <c r="B454">
        <v>46</v>
      </c>
      <c r="C454">
        <v>3</v>
      </c>
      <c r="D454">
        <v>0</v>
      </c>
    </row>
    <row r="455" spans="1:4" x14ac:dyDescent="0.3">
      <c r="A455">
        <v>8</v>
      </c>
      <c r="B455">
        <v>46</v>
      </c>
      <c r="C455">
        <v>4</v>
      </c>
      <c r="D455">
        <v>0</v>
      </c>
    </row>
    <row r="456" spans="1:4" x14ac:dyDescent="0.3">
      <c r="A456">
        <v>8</v>
      </c>
      <c r="B456">
        <v>46</v>
      </c>
      <c r="C456">
        <v>5</v>
      </c>
      <c r="D456">
        <v>0</v>
      </c>
    </row>
    <row r="457" spans="1:4" x14ac:dyDescent="0.3">
      <c r="A457">
        <v>8</v>
      </c>
      <c r="B457">
        <v>46</v>
      </c>
      <c r="C457">
        <v>6</v>
      </c>
      <c r="D457">
        <v>0</v>
      </c>
    </row>
    <row r="458" spans="1:4" x14ac:dyDescent="0.3">
      <c r="A458">
        <v>8</v>
      </c>
      <c r="B458">
        <v>46</v>
      </c>
      <c r="C458">
        <v>7</v>
      </c>
      <c r="D458">
        <v>0</v>
      </c>
    </row>
    <row r="459" spans="1:4" x14ac:dyDescent="0.3">
      <c r="A459">
        <v>8</v>
      </c>
      <c r="B459">
        <v>46</v>
      </c>
      <c r="C459">
        <v>8</v>
      </c>
      <c r="D459">
        <v>0</v>
      </c>
    </row>
    <row r="460" spans="1:4" x14ac:dyDescent="0.3">
      <c r="A460">
        <v>8</v>
      </c>
      <c r="B460">
        <v>46</v>
      </c>
      <c r="C460">
        <v>9</v>
      </c>
      <c r="D460">
        <v>0</v>
      </c>
    </row>
    <row r="461" spans="1:4" x14ac:dyDescent="0.3">
      <c r="A461">
        <v>8</v>
      </c>
      <c r="B461">
        <v>46</v>
      </c>
      <c r="C461">
        <v>10</v>
      </c>
      <c r="D461">
        <v>0.21000000000000005</v>
      </c>
    </row>
    <row r="462" spans="1:4" x14ac:dyDescent="0.3">
      <c r="A462">
        <v>8</v>
      </c>
      <c r="B462">
        <v>47</v>
      </c>
      <c r="C462">
        <v>1</v>
      </c>
      <c r="D462">
        <v>0</v>
      </c>
    </row>
    <row r="463" spans="1:4" x14ac:dyDescent="0.3">
      <c r="A463">
        <v>8</v>
      </c>
      <c r="B463">
        <v>47</v>
      </c>
      <c r="C463">
        <v>2</v>
      </c>
      <c r="D463">
        <v>0</v>
      </c>
    </row>
    <row r="464" spans="1:4" x14ac:dyDescent="0.3">
      <c r="A464">
        <v>8</v>
      </c>
      <c r="B464">
        <v>47</v>
      </c>
      <c r="C464">
        <v>3</v>
      </c>
      <c r="D464">
        <v>0.39000000000000024</v>
      </c>
    </row>
    <row r="465" spans="1:4" x14ac:dyDescent="0.3">
      <c r="A465">
        <v>8</v>
      </c>
      <c r="B465">
        <v>47</v>
      </c>
      <c r="C465">
        <v>4</v>
      </c>
      <c r="D465">
        <v>0</v>
      </c>
    </row>
    <row r="466" spans="1:4" x14ac:dyDescent="0.3">
      <c r="A466">
        <v>8</v>
      </c>
      <c r="B466">
        <v>47</v>
      </c>
      <c r="C466">
        <v>5</v>
      </c>
      <c r="D466">
        <v>0</v>
      </c>
    </row>
    <row r="467" spans="1:4" x14ac:dyDescent="0.3">
      <c r="A467">
        <v>8</v>
      </c>
      <c r="B467">
        <v>47</v>
      </c>
      <c r="C467">
        <v>6</v>
      </c>
      <c r="D467">
        <v>0</v>
      </c>
    </row>
    <row r="468" spans="1:4" x14ac:dyDescent="0.3">
      <c r="A468">
        <v>8</v>
      </c>
      <c r="B468">
        <v>47</v>
      </c>
      <c r="C468">
        <v>7</v>
      </c>
      <c r="D468">
        <v>0</v>
      </c>
    </row>
    <row r="469" spans="1:4" x14ac:dyDescent="0.3">
      <c r="A469">
        <v>8</v>
      </c>
      <c r="B469">
        <v>47</v>
      </c>
      <c r="C469">
        <v>8</v>
      </c>
      <c r="D469">
        <v>0</v>
      </c>
    </row>
    <row r="470" spans="1:4" x14ac:dyDescent="0.3">
      <c r="A470">
        <v>8</v>
      </c>
      <c r="B470">
        <v>47</v>
      </c>
      <c r="C470">
        <v>9</v>
      </c>
      <c r="D470">
        <v>0</v>
      </c>
    </row>
    <row r="471" spans="1:4" x14ac:dyDescent="0.3">
      <c r="A471">
        <v>8</v>
      </c>
      <c r="B471">
        <v>47</v>
      </c>
      <c r="C471">
        <v>10</v>
      </c>
      <c r="D471">
        <v>0</v>
      </c>
    </row>
    <row r="472" spans="1:4" x14ac:dyDescent="0.3">
      <c r="A472">
        <v>8</v>
      </c>
      <c r="B472">
        <v>48</v>
      </c>
      <c r="C472">
        <v>1</v>
      </c>
      <c r="D472">
        <v>0</v>
      </c>
    </row>
    <row r="473" spans="1:4" x14ac:dyDescent="0.3">
      <c r="A473">
        <v>8</v>
      </c>
      <c r="B473">
        <v>48</v>
      </c>
      <c r="C473">
        <v>2</v>
      </c>
      <c r="D473">
        <v>0</v>
      </c>
    </row>
    <row r="474" spans="1:4" x14ac:dyDescent="0.3">
      <c r="A474">
        <v>8</v>
      </c>
      <c r="B474">
        <v>48</v>
      </c>
      <c r="C474">
        <v>3</v>
      </c>
      <c r="D474">
        <v>0</v>
      </c>
    </row>
    <row r="475" spans="1:4" x14ac:dyDescent="0.3">
      <c r="A475">
        <v>8</v>
      </c>
      <c r="B475">
        <v>48</v>
      </c>
      <c r="C475">
        <v>4</v>
      </c>
      <c r="D475">
        <v>0</v>
      </c>
    </row>
    <row r="476" spans="1:4" x14ac:dyDescent="0.3">
      <c r="A476">
        <v>8</v>
      </c>
      <c r="B476">
        <v>48</v>
      </c>
      <c r="C476">
        <v>5</v>
      </c>
      <c r="D476">
        <v>0</v>
      </c>
    </row>
    <row r="477" spans="1:4" x14ac:dyDescent="0.3">
      <c r="A477">
        <v>8</v>
      </c>
      <c r="B477">
        <v>48</v>
      </c>
      <c r="C477">
        <v>6</v>
      </c>
      <c r="D477">
        <v>0</v>
      </c>
    </row>
    <row r="478" spans="1:4" x14ac:dyDescent="0.3">
      <c r="A478">
        <v>8</v>
      </c>
      <c r="B478">
        <v>48</v>
      </c>
      <c r="C478">
        <v>7</v>
      </c>
      <c r="D478">
        <v>0</v>
      </c>
    </row>
    <row r="479" spans="1:4" x14ac:dyDescent="0.3">
      <c r="A479">
        <v>8</v>
      </c>
      <c r="B479">
        <v>48</v>
      </c>
      <c r="C479">
        <v>8</v>
      </c>
      <c r="D479">
        <v>0</v>
      </c>
    </row>
    <row r="480" spans="1:4" x14ac:dyDescent="0.3">
      <c r="A480">
        <v>8</v>
      </c>
      <c r="B480">
        <v>48</v>
      </c>
      <c r="C480">
        <v>9</v>
      </c>
      <c r="D480">
        <v>0</v>
      </c>
    </row>
    <row r="481" spans="1:4" x14ac:dyDescent="0.3">
      <c r="A481">
        <v>8</v>
      </c>
      <c r="B481">
        <v>48</v>
      </c>
      <c r="C481">
        <v>10</v>
      </c>
      <c r="D481">
        <v>0</v>
      </c>
    </row>
    <row r="482" spans="1:4" x14ac:dyDescent="0.3">
      <c r="A482">
        <v>8</v>
      </c>
      <c r="B482">
        <v>49</v>
      </c>
      <c r="C482">
        <v>1</v>
      </c>
      <c r="D482">
        <v>0</v>
      </c>
    </row>
    <row r="483" spans="1:4" x14ac:dyDescent="0.3">
      <c r="A483">
        <v>8</v>
      </c>
      <c r="B483">
        <v>49</v>
      </c>
      <c r="C483">
        <v>2</v>
      </c>
      <c r="D483">
        <v>0.66000000000000036</v>
      </c>
    </row>
    <row r="484" spans="1:4" x14ac:dyDescent="0.3">
      <c r="A484">
        <v>8</v>
      </c>
      <c r="B484">
        <v>49</v>
      </c>
      <c r="C484">
        <v>3</v>
      </c>
      <c r="D484">
        <v>0</v>
      </c>
    </row>
    <row r="485" spans="1:4" x14ac:dyDescent="0.3">
      <c r="A485">
        <v>8</v>
      </c>
      <c r="B485">
        <v>49</v>
      </c>
      <c r="C485">
        <v>4</v>
      </c>
      <c r="D485">
        <v>0</v>
      </c>
    </row>
    <row r="486" spans="1:4" x14ac:dyDescent="0.3">
      <c r="A486">
        <v>8</v>
      </c>
      <c r="B486">
        <v>49</v>
      </c>
      <c r="C486">
        <v>5</v>
      </c>
      <c r="D486">
        <v>0</v>
      </c>
    </row>
    <row r="487" spans="1:4" x14ac:dyDescent="0.3">
      <c r="A487">
        <v>8</v>
      </c>
      <c r="B487">
        <v>49</v>
      </c>
      <c r="C487">
        <v>6</v>
      </c>
      <c r="D487">
        <v>0</v>
      </c>
    </row>
    <row r="488" spans="1:4" x14ac:dyDescent="0.3">
      <c r="A488">
        <v>8</v>
      </c>
      <c r="B488">
        <v>49</v>
      </c>
      <c r="C488">
        <v>7</v>
      </c>
      <c r="D488">
        <v>0</v>
      </c>
    </row>
    <row r="489" spans="1:4" x14ac:dyDescent="0.3">
      <c r="A489">
        <v>8</v>
      </c>
      <c r="B489">
        <v>49</v>
      </c>
      <c r="C489">
        <v>8</v>
      </c>
      <c r="D489">
        <v>0</v>
      </c>
    </row>
    <row r="490" spans="1:4" x14ac:dyDescent="0.3">
      <c r="A490">
        <v>8</v>
      </c>
      <c r="B490">
        <v>49</v>
      </c>
      <c r="C490">
        <v>9</v>
      </c>
      <c r="D490">
        <v>0</v>
      </c>
    </row>
    <row r="491" spans="1:4" x14ac:dyDescent="0.3">
      <c r="A491">
        <v>8</v>
      </c>
      <c r="B491">
        <v>49</v>
      </c>
      <c r="C491">
        <v>10</v>
      </c>
      <c r="D491">
        <v>0</v>
      </c>
    </row>
    <row r="492" spans="1:4" x14ac:dyDescent="0.3">
      <c r="A492">
        <v>8</v>
      </c>
      <c r="B492">
        <v>50</v>
      </c>
      <c r="C492">
        <v>1</v>
      </c>
      <c r="D492">
        <v>0</v>
      </c>
    </row>
    <row r="493" spans="1:4" x14ac:dyDescent="0.3">
      <c r="A493">
        <v>8</v>
      </c>
      <c r="B493">
        <v>50</v>
      </c>
      <c r="C493">
        <v>2</v>
      </c>
      <c r="D493">
        <v>0</v>
      </c>
    </row>
    <row r="494" spans="1:4" x14ac:dyDescent="0.3">
      <c r="A494">
        <v>8</v>
      </c>
      <c r="B494">
        <v>50</v>
      </c>
      <c r="C494">
        <v>3</v>
      </c>
      <c r="D494">
        <v>0</v>
      </c>
    </row>
    <row r="495" spans="1:4" x14ac:dyDescent="0.3">
      <c r="A495">
        <v>8</v>
      </c>
      <c r="B495">
        <v>50</v>
      </c>
      <c r="C495">
        <v>4</v>
      </c>
      <c r="D495">
        <v>0</v>
      </c>
    </row>
    <row r="496" spans="1:4" x14ac:dyDescent="0.3">
      <c r="A496">
        <v>8</v>
      </c>
      <c r="B496">
        <v>50</v>
      </c>
      <c r="C496">
        <v>5</v>
      </c>
      <c r="D496">
        <v>0</v>
      </c>
    </row>
    <row r="497" spans="1:4" x14ac:dyDescent="0.3">
      <c r="A497">
        <v>8</v>
      </c>
      <c r="B497">
        <v>50</v>
      </c>
      <c r="C497">
        <v>6</v>
      </c>
      <c r="D497">
        <v>0</v>
      </c>
    </row>
    <row r="498" spans="1:4" x14ac:dyDescent="0.3">
      <c r="A498">
        <v>8</v>
      </c>
      <c r="B498">
        <v>50</v>
      </c>
      <c r="C498">
        <v>7</v>
      </c>
      <c r="D498">
        <v>0</v>
      </c>
    </row>
    <row r="499" spans="1:4" x14ac:dyDescent="0.3">
      <c r="A499">
        <v>8</v>
      </c>
      <c r="B499">
        <v>50</v>
      </c>
      <c r="C499">
        <v>8</v>
      </c>
      <c r="D499">
        <v>0</v>
      </c>
    </row>
    <row r="500" spans="1:4" x14ac:dyDescent="0.3">
      <c r="A500">
        <v>8</v>
      </c>
      <c r="B500">
        <v>50</v>
      </c>
      <c r="C500">
        <v>9</v>
      </c>
      <c r="D500">
        <v>0</v>
      </c>
    </row>
    <row r="501" spans="1:4" x14ac:dyDescent="0.3">
      <c r="A501">
        <v>8</v>
      </c>
      <c r="B501">
        <v>50</v>
      </c>
      <c r="C501">
        <v>10</v>
      </c>
      <c r="D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ActiveGoals</vt:lpstr>
      <vt:lpstr>Sheet1</vt:lpstr>
      <vt:lpstr>AStar 10 Agents Benchmarking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2026-04-18T11:13:58Z</dcterms:modified>
</cp:coreProperties>
</file>